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sti\Sebastian\Studium\Forschungspraktikum\Videoauswertung\"/>
    </mc:Choice>
  </mc:AlternateContent>
  <xr:revisionPtr revIDLastSave="0" documentId="13_ncr:1_{BD7D29BA-1E46-46D9-8311-31713B81421E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Einzelkanal" sheetId="1" r:id="rId1"/>
    <sheet name="Monolithanlage" sheetId="2" r:id="rId2"/>
  </sheets>
  <externalReferences>
    <externalReference r:id="rId3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0" i="1" l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I267" i="1"/>
  <c r="I268" i="1"/>
  <c r="I269" i="1"/>
  <c r="I270" i="1"/>
  <c r="I266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342" i="1"/>
  <c r="H341" i="1"/>
  <c r="H340" i="1"/>
  <c r="H339" i="1"/>
  <c r="H338" i="1"/>
  <c r="H337" i="1"/>
  <c r="H356" i="1"/>
  <c r="H355" i="1"/>
  <c r="H354" i="1"/>
  <c r="H353" i="1"/>
  <c r="H352" i="1"/>
  <c r="H351" i="1"/>
  <c r="H370" i="1"/>
  <c r="H369" i="1"/>
  <c r="H368" i="1"/>
  <c r="H367" i="1"/>
  <c r="H366" i="1"/>
  <c r="H365" i="1"/>
  <c r="H379" i="1"/>
  <c r="H380" i="1"/>
  <c r="H381" i="1"/>
  <c r="H382" i="1"/>
  <c r="H383" i="1"/>
  <c r="H384" i="1"/>
  <c r="H385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23" i="1"/>
  <c r="H424" i="1"/>
  <c r="H425" i="1"/>
  <c r="H426" i="1"/>
  <c r="H427" i="1"/>
  <c r="H428" i="1"/>
  <c r="H429" i="1"/>
  <c r="H430" i="1"/>
  <c r="H431" i="1"/>
  <c r="H432" i="1"/>
  <c r="H433" i="1"/>
  <c r="H435" i="1"/>
  <c r="H436" i="1"/>
  <c r="H434" i="1"/>
  <c r="Y64" i="2" l="1"/>
  <c r="Z64" i="2" s="1"/>
  <c r="AA64" i="2" s="1"/>
  <c r="AB64" i="2" s="1"/>
  <c r="X64" i="2"/>
  <c r="AC64" i="2" s="1"/>
  <c r="W64" i="2"/>
  <c r="Y59" i="2"/>
  <c r="Z59" i="2" s="1"/>
  <c r="AA59" i="2" s="1"/>
  <c r="AB59" i="2" s="1"/>
  <c r="X59" i="2"/>
  <c r="AC59" i="2" s="1"/>
  <c r="W59" i="2"/>
  <c r="AI40" i="2"/>
  <c r="AJ40" i="2" s="1"/>
  <c r="AK40" i="2" s="1"/>
  <c r="AL40" i="2" s="1"/>
  <c r="AM40" i="2" s="1"/>
  <c r="AI39" i="2"/>
  <c r="AJ39" i="2" s="1"/>
  <c r="AK39" i="2" s="1"/>
  <c r="AL39" i="2" s="1"/>
  <c r="AM39" i="2" s="1"/>
  <c r="AI38" i="2"/>
  <c r="AJ38" i="2" s="1"/>
  <c r="AK38" i="2" s="1"/>
  <c r="AL38" i="2" s="1"/>
  <c r="AM38" i="2" s="1"/>
  <c r="AJ37" i="2"/>
  <c r="AK37" i="2" s="1"/>
  <c r="AL37" i="2" s="1"/>
  <c r="AM37" i="2" s="1"/>
  <c r="AI37" i="2"/>
  <c r="AI36" i="2"/>
  <c r="AJ36" i="2" s="1"/>
  <c r="AK36" i="2" s="1"/>
  <c r="AL36" i="2" s="1"/>
  <c r="AM36" i="2" s="1"/>
  <c r="U36" i="2"/>
  <c r="P36" i="2"/>
  <c r="Q36" i="2" s="1"/>
  <c r="O36" i="2"/>
  <c r="L36" i="2"/>
  <c r="K36" i="2"/>
  <c r="AL35" i="2"/>
  <c r="AM35" i="2" s="1"/>
  <c r="AJ35" i="2"/>
  <c r="AK35" i="2" s="1"/>
  <c r="AK34" i="2"/>
  <c r="AL34" i="2" s="1"/>
  <c r="AM34" i="2" s="1"/>
  <c r="AJ34" i="2"/>
  <c r="AI34" i="2"/>
  <c r="AJ33" i="2"/>
  <c r="AK33" i="2" s="1"/>
  <c r="AL33" i="2" s="1"/>
  <c r="AM33" i="2" s="1"/>
  <c r="AI33" i="2"/>
  <c r="AI32" i="2"/>
  <c r="AJ32" i="2" s="1"/>
  <c r="AK32" i="2" s="1"/>
  <c r="AL32" i="2" s="1"/>
  <c r="AM32" i="2" s="1"/>
  <c r="AJ31" i="2"/>
  <c r="AK31" i="2" s="1"/>
  <c r="AL31" i="2" s="1"/>
  <c r="AM31" i="2" s="1"/>
  <c r="AI31" i="2"/>
  <c r="AB31" i="2"/>
  <c r="Z31" i="2"/>
  <c r="AA31" i="2" s="1"/>
  <c r="Q31" i="2"/>
  <c r="R31" i="2" s="1"/>
  <c r="S31" i="2" s="1"/>
  <c r="T31" i="2" s="1"/>
  <c r="P31" i="2"/>
  <c r="U31" i="2" s="1"/>
  <c r="O31" i="2"/>
  <c r="AI35" i="2" s="1"/>
  <c r="J31" i="2"/>
  <c r="L31" i="2" s="1"/>
  <c r="I31" i="2"/>
  <c r="K31" i="2" s="1"/>
  <c r="AI30" i="2"/>
  <c r="AJ30" i="2" s="1"/>
  <c r="AK30" i="2" s="1"/>
  <c r="AL30" i="2" s="1"/>
  <c r="AM30" i="2" s="1"/>
  <c r="AI28" i="2"/>
  <c r="AJ28" i="2" s="1"/>
  <c r="AK28" i="2" s="1"/>
  <c r="AL28" i="2" s="1"/>
  <c r="AM28" i="2" s="1"/>
  <c r="AI26" i="2"/>
  <c r="AJ26" i="2" s="1"/>
  <c r="AK26" i="2" s="1"/>
  <c r="AL26" i="2" s="1"/>
  <c r="AM26" i="2" s="1"/>
  <c r="U26" i="2"/>
  <c r="Q26" i="2"/>
  <c r="P26" i="2"/>
  <c r="O26" i="2"/>
  <c r="L26" i="2"/>
  <c r="J26" i="2"/>
  <c r="I26" i="2"/>
  <c r="K26" i="2" s="1"/>
  <c r="AK25" i="2"/>
  <c r="AL25" i="2" s="1"/>
  <c r="AM25" i="2" s="1"/>
  <c r="AJ25" i="2"/>
  <c r="AI25" i="2"/>
  <c r="AK24" i="2"/>
  <c r="AL24" i="2" s="1"/>
  <c r="AM24" i="2" s="1"/>
  <c r="AI24" i="2"/>
  <c r="AJ24" i="2" s="1"/>
  <c r="AI23" i="2"/>
  <c r="AJ23" i="2" s="1"/>
  <c r="AK23" i="2" s="1"/>
  <c r="AL23" i="2" s="1"/>
  <c r="AM23" i="2" s="1"/>
  <c r="AI22" i="2"/>
  <c r="AJ22" i="2" s="1"/>
  <c r="AK22" i="2" s="1"/>
  <c r="AL22" i="2" s="1"/>
  <c r="AM22" i="2" s="1"/>
  <c r="AJ21" i="2"/>
  <c r="AK21" i="2" s="1"/>
  <c r="AL21" i="2" s="1"/>
  <c r="AM21" i="2" s="1"/>
  <c r="AI21" i="2"/>
  <c r="P21" i="2"/>
  <c r="O21" i="2"/>
  <c r="L21" i="2"/>
  <c r="K21" i="2"/>
  <c r="AI20" i="2"/>
  <c r="AJ20" i="2" s="1"/>
  <c r="AK20" i="2" s="1"/>
  <c r="AL20" i="2" s="1"/>
  <c r="AM20" i="2" s="1"/>
  <c r="AI17" i="2"/>
  <c r="AJ17" i="2" s="1"/>
  <c r="AK17" i="2" s="1"/>
  <c r="AL17" i="2" s="1"/>
  <c r="AM17" i="2" s="1"/>
  <c r="AI16" i="2"/>
  <c r="AJ16" i="2" s="1"/>
  <c r="AK16" i="2" s="1"/>
  <c r="AL16" i="2" s="1"/>
  <c r="AM16" i="2" s="1"/>
  <c r="U16" i="2"/>
  <c r="P16" i="2"/>
  <c r="O16" i="2"/>
  <c r="L16" i="2"/>
  <c r="K16" i="2"/>
  <c r="K436" i="1"/>
  <c r="I436" i="1"/>
  <c r="K435" i="1"/>
  <c r="I435" i="1"/>
  <c r="K434" i="1"/>
  <c r="I434" i="1"/>
  <c r="K433" i="1"/>
  <c r="I433" i="1"/>
  <c r="K432" i="1"/>
  <c r="I432" i="1"/>
  <c r="K431" i="1"/>
  <c r="I431" i="1"/>
  <c r="K430" i="1"/>
  <c r="I430" i="1"/>
  <c r="K429" i="1"/>
  <c r="I429" i="1"/>
  <c r="K428" i="1"/>
  <c r="I428" i="1"/>
  <c r="K427" i="1"/>
  <c r="I427" i="1"/>
  <c r="K426" i="1"/>
  <c r="I426" i="1"/>
  <c r="K425" i="1"/>
  <c r="I425" i="1"/>
  <c r="K424" i="1"/>
  <c r="I424" i="1"/>
  <c r="K423" i="1"/>
  <c r="I423" i="1"/>
  <c r="K422" i="1"/>
  <c r="I422" i="1"/>
  <c r="K421" i="1"/>
  <c r="I421" i="1"/>
  <c r="K420" i="1"/>
  <c r="I420" i="1"/>
  <c r="K419" i="1"/>
  <c r="I419" i="1"/>
  <c r="K418" i="1"/>
  <c r="I418" i="1"/>
  <c r="K417" i="1"/>
  <c r="I417" i="1"/>
  <c r="K416" i="1"/>
  <c r="I416" i="1"/>
  <c r="K415" i="1"/>
  <c r="I415" i="1"/>
  <c r="K414" i="1"/>
  <c r="I414" i="1"/>
  <c r="K413" i="1"/>
  <c r="I413" i="1"/>
  <c r="K412" i="1"/>
  <c r="I412" i="1"/>
  <c r="K411" i="1"/>
  <c r="I411" i="1"/>
  <c r="K410" i="1"/>
  <c r="I410" i="1"/>
  <c r="K409" i="1"/>
  <c r="I409" i="1"/>
  <c r="K408" i="1"/>
  <c r="I408" i="1"/>
  <c r="K407" i="1"/>
  <c r="I407" i="1"/>
  <c r="K406" i="1"/>
  <c r="I406" i="1"/>
  <c r="K405" i="1"/>
  <c r="I405" i="1"/>
  <c r="K404" i="1"/>
  <c r="I404" i="1"/>
  <c r="K403" i="1"/>
  <c r="I403" i="1"/>
  <c r="K402" i="1"/>
  <c r="I402" i="1"/>
  <c r="K401" i="1"/>
  <c r="I401" i="1"/>
  <c r="K400" i="1"/>
  <c r="I400" i="1"/>
  <c r="K399" i="1"/>
  <c r="I399" i="1"/>
  <c r="K398" i="1"/>
  <c r="I398" i="1"/>
  <c r="K397" i="1"/>
  <c r="I397" i="1"/>
  <c r="K396" i="1"/>
  <c r="I396" i="1"/>
  <c r="K395" i="1"/>
  <c r="I395" i="1"/>
  <c r="K394" i="1"/>
  <c r="I394" i="1"/>
  <c r="K393" i="1"/>
  <c r="I393" i="1"/>
  <c r="K392" i="1"/>
  <c r="I392" i="1"/>
  <c r="K391" i="1"/>
  <c r="I391" i="1"/>
  <c r="K390" i="1"/>
  <c r="I390" i="1"/>
  <c r="K389" i="1"/>
  <c r="I389" i="1"/>
  <c r="K388" i="1"/>
  <c r="I388" i="1"/>
  <c r="K387" i="1"/>
  <c r="I387" i="1"/>
  <c r="K386" i="1"/>
  <c r="I386" i="1"/>
  <c r="K385" i="1"/>
  <c r="I385" i="1"/>
  <c r="K384" i="1"/>
  <c r="I384" i="1"/>
  <c r="K383" i="1"/>
  <c r="I383" i="1"/>
  <c r="K382" i="1"/>
  <c r="I382" i="1"/>
  <c r="K381" i="1"/>
  <c r="I381" i="1"/>
  <c r="K380" i="1"/>
  <c r="I380" i="1"/>
  <c r="K379" i="1"/>
  <c r="I379" i="1"/>
  <c r="K378" i="1"/>
  <c r="I378" i="1"/>
  <c r="H378" i="1" s="1"/>
  <c r="K377" i="1"/>
  <c r="I377" i="1"/>
  <c r="H377" i="1" s="1"/>
  <c r="K376" i="1"/>
  <c r="I376" i="1"/>
  <c r="H376" i="1" s="1"/>
  <c r="K375" i="1"/>
  <c r="I375" i="1"/>
  <c r="H375" i="1"/>
  <c r="K374" i="1"/>
  <c r="I374" i="1"/>
  <c r="H374" i="1" s="1"/>
  <c r="K373" i="1"/>
  <c r="I373" i="1"/>
  <c r="H373" i="1" s="1"/>
  <c r="K372" i="1"/>
  <c r="I372" i="1"/>
  <c r="H372" i="1" s="1"/>
  <c r="K371" i="1"/>
  <c r="I371" i="1"/>
  <c r="H371" i="1"/>
  <c r="K370" i="1"/>
  <c r="I370" i="1"/>
  <c r="K369" i="1"/>
  <c r="I369" i="1"/>
  <c r="K368" i="1"/>
  <c r="I368" i="1"/>
  <c r="K367" i="1"/>
  <c r="I367" i="1"/>
  <c r="K366" i="1"/>
  <c r="I366" i="1"/>
  <c r="K365" i="1"/>
  <c r="I365" i="1"/>
  <c r="K364" i="1"/>
  <c r="I364" i="1"/>
  <c r="H364" i="1" s="1"/>
  <c r="K363" i="1"/>
  <c r="I363" i="1"/>
  <c r="H363" i="1"/>
  <c r="K362" i="1"/>
  <c r="I362" i="1"/>
  <c r="H362" i="1" s="1"/>
  <c r="K361" i="1"/>
  <c r="I361" i="1"/>
  <c r="H361" i="1" s="1"/>
  <c r="K360" i="1"/>
  <c r="I360" i="1"/>
  <c r="H360" i="1" s="1"/>
  <c r="K359" i="1"/>
  <c r="I359" i="1"/>
  <c r="H359" i="1"/>
  <c r="K358" i="1"/>
  <c r="I358" i="1"/>
  <c r="H358" i="1" s="1"/>
  <c r="K357" i="1"/>
  <c r="I357" i="1"/>
  <c r="H357" i="1" s="1"/>
  <c r="K356" i="1"/>
  <c r="I356" i="1"/>
  <c r="K355" i="1"/>
  <c r="I355" i="1"/>
  <c r="K354" i="1"/>
  <c r="I354" i="1"/>
  <c r="K353" i="1"/>
  <c r="I353" i="1"/>
  <c r="K352" i="1"/>
  <c r="I352" i="1"/>
  <c r="K351" i="1"/>
  <c r="I351" i="1"/>
  <c r="K350" i="1"/>
  <c r="I350" i="1"/>
  <c r="H350" i="1" s="1"/>
  <c r="K349" i="1"/>
  <c r="I349" i="1"/>
  <c r="H349" i="1" s="1"/>
  <c r="K348" i="1"/>
  <c r="I348" i="1"/>
  <c r="H348" i="1" s="1"/>
  <c r="K347" i="1"/>
  <c r="I347" i="1"/>
  <c r="H347" i="1"/>
  <c r="K346" i="1"/>
  <c r="I346" i="1"/>
  <c r="H346" i="1" s="1"/>
  <c r="K345" i="1"/>
  <c r="I345" i="1"/>
  <c r="H345" i="1"/>
  <c r="K344" i="1"/>
  <c r="I344" i="1"/>
  <c r="H344" i="1" s="1"/>
  <c r="K343" i="1"/>
  <c r="I343" i="1"/>
  <c r="H343" i="1"/>
  <c r="K342" i="1"/>
  <c r="I342" i="1"/>
  <c r="K341" i="1"/>
  <c r="I341" i="1"/>
  <c r="K340" i="1"/>
  <c r="I340" i="1"/>
  <c r="K339" i="1"/>
  <c r="I339" i="1"/>
  <c r="K338" i="1"/>
  <c r="I338" i="1"/>
  <c r="K337" i="1"/>
  <c r="I337" i="1"/>
  <c r="K336" i="1"/>
  <c r="I336" i="1"/>
  <c r="K335" i="1"/>
  <c r="I335" i="1"/>
  <c r="K334" i="1"/>
  <c r="I334" i="1"/>
  <c r="K333" i="1"/>
  <c r="I333" i="1"/>
  <c r="K332" i="1"/>
  <c r="I332" i="1"/>
  <c r="K331" i="1"/>
  <c r="I331" i="1"/>
  <c r="K330" i="1"/>
  <c r="I330" i="1"/>
  <c r="K329" i="1"/>
  <c r="I329" i="1"/>
  <c r="K328" i="1"/>
  <c r="I328" i="1"/>
  <c r="K327" i="1"/>
  <c r="I327" i="1"/>
  <c r="K326" i="1"/>
  <c r="I326" i="1"/>
  <c r="K325" i="1"/>
  <c r="I325" i="1"/>
  <c r="K324" i="1"/>
  <c r="I324" i="1"/>
  <c r="K323" i="1"/>
  <c r="I323" i="1"/>
  <c r="K322" i="1"/>
  <c r="I322" i="1"/>
  <c r="K321" i="1"/>
  <c r="I321" i="1"/>
  <c r="K320" i="1"/>
  <c r="I320" i="1"/>
  <c r="K319" i="1"/>
  <c r="I319" i="1"/>
  <c r="K318" i="1"/>
  <c r="I318" i="1"/>
  <c r="K317" i="1"/>
  <c r="I317" i="1"/>
  <c r="K316" i="1"/>
  <c r="I316" i="1"/>
  <c r="K315" i="1"/>
  <c r="I315" i="1"/>
  <c r="K314" i="1"/>
  <c r="I314" i="1"/>
  <c r="K313" i="1"/>
  <c r="I313" i="1"/>
  <c r="K312" i="1"/>
  <c r="I312" i="1"/>
  <c r="K311" i="1"/>
  <c r="I311" i="1"/>
  <c r="K310" i="1"/>
  <c r="I310" i="1"/>
  <c r="K309" i="1"/>
  <c r="I309" i="1"/>
  <c r="K308" i="1"/>
  <c r="I308" i="1"/>
  <c r="K307" i="1"/>
  <c r="I307" i="1"/>
  <c r="K306" i="1"/>
  <c r="I306" i="1"/>
  <c r="K305" i="1"/>
  <c r="I305" i="1"/>
  <c r="K304" i="1"/>
  <c r="I304" i="1"/>
  <c r="K303" i="1"/>
  <c r="I303" i="1"/>
  <c r="K302" i="1"/>
  <c r="I302" i="1"/>
  <c r="K301" i="1"/>
  <c r="I301" i="1"/>
  <c r="K300" i="1"/>
  <c r="I300" i="1"/>
  <c r="K299" i="1"/>
  <c r="I299" i="1"/>
  <c r="K298" i="1"/>
  <c r="I298" i="1"/>
  <c r="K297" i="1"/>
  <c r="I297" i="1"/>
  <c r="K296" i="1"/>
  <c r="I296" i="1"/>
  <c r="K295" i="1"/>
  <c r="I295" i="1"/>
  <c r="K294" i="1"/>
  <c r="I294" i="1"/>
  <c r="K293" i="1"/>
  <c r="I293" i="1"/>
  <c r="K292" i="1"/>
  <c r="I292" i="1"/>
  <c r="K291" i="1"/>
  <c r="I291" i="1"/>
  <c r="K290" i="1"/>
  <c r="I290" i="1"/>
  <c r="K289" i="1"/>
  <c r="I289" i="1"/>
  <c r="K288" i="1"/>
  <c r="I288" i="1"/>
  <c r="K287" i="1"/>
  <c r="I287" i="1"/>
  <c r="K286" i="1"/>
  <c r="I286" i="1"/>
  <c r="K285" i="1"/>
  <c r="I285" i="1"/>
  <c r="K284" i="1"/>
  <c r="I284" i="1"/>
  <c r="K283" i="1"/>
  <c r="I283" i="1"/>
  <c r="K282" i="1"/>
  <c r="I282" i="1"/>
  <c r="K281" i="1"/>
  <c r="I281" i="1"/>
  <c r="K280" i="1"/>
  <c r="I280" i="1"/>
  <c r="K279" i="1"/>
  <c r="I279" i="1"/>
  <c r="K278" i="1"/>
  <c r="I278" i="1"/>
  <c r="K277" i="1"/>
  <c r="I277" i="1"/>
  <c r="K276" i="1"/>
  <c r="I276" i="1"/>
  <c r="K275" i="1"/>
  <c r="I275" i="1"/>
  <c r="K274" i="1"/>
  <c r="I274" i="1"/>
  <c r="K273" i="1"/>
  <c r="I273" i="1"/>
  <c r="K272" i="1"/>
  <c r="I272" i="1"/>
  <c r="K271" i="1"/>
  <c r="I271" i="1"/>
  <c r="K270" i="1"/>
  <c r="K269" i="1"/>
  <c r="K268" i="1"/>
  <c r="K267" i="1"/>
  <c r="K266" i="1"/>
  <c r="K265" i="1"/>
  <c r="I265" i="1"/>
  <c r="H265" i="1"/>
  <c r="K264" i="1"/>
  <c r="I264" i="1"/>
  <c r="H264" i="1" s="1"/>
  <c r="K263" i="1"/>
  <c r="I263" i="1"/>
  <c r="H263" i="1" s="1"/>
  <c r="K262" i="1"/>
  <c r="I262" i="1"/>
  <c r="H262" i="1" s="1"/>
  <c r="K261" i="1"/>
  <c r="I261" i="1"/>
  <c r="H261" i="1"/>
  <c r="K260" i="1"/>
  <c r="I260" i="1"/>
  <c r="H260" i="1" s="1"/>
  <c r="K259" i="1"/>
  <c r="I259" i="1"/>
  <c r="H259" i="1" s="1"/>
  <c r="K258" i="1"/>
  <c r="I258" i="1"/>
  <c r="H258" i="1" s="1"/>
  <c r="K257" i="1"/>
  <c r="I257" i="1"/>
  <c r="H257" i="1"/>
  <c r="K256" i="1"/>
  <c r="I256" i="1"/>
  <c r="H256" i="1" s="1"/>
  <c r="K255" i="1"/>
  <c r="I255" i="1"/>
  <c r="H255" i="1"/>
  <c r="K254" i="1"/>
  <c r="I254" i="1"/>
  <c r="H254" i="1" s="1"/>
  <c r="K253" i="1"/>
  <c r="I253" i="1"/>
  <c r="H253" i="1"/>
  <c r="K252" i="1"/>
  <c r="I252" i="1"/>
  <c r="H252" i="1" s="1"/>
  <c r="K251" i="1"/>
  <c r="I251" i="1"/>
  <c r="H251" i="1"/>
  <c r="K250" i="1"/>
  <c r="I250" i="1"/>
  <c r="H250" i="1" s="1"/>
  <c r="K249" i="1"/>
  <c r="I249" i="1"/>
  <c r="H249" i="1"/>
  <c r="K248" i="1"/>
  <c r="I248" i="1"/>
  <c r="H248" i="1" s="1"/>
  <c r="K247" i="1"/>
  <c r="I247" i="1"/>
  <c r="H247" i="1" s="1"/>
  <c r="K246" i="1"/>
  <c r="I246" i="1"/>
  <c r="H246" i="1" s="1"/>
  <c r="K245" i="1"/>
  <c r="I245" i="1"/>
  <c r="H245" i="1" s="1"/>
  <c r="K244" i="1"/>
  <c r="I244" i="1"/>
  <c r="H244" i="1" s="1"/>
  <c r="K243" i="1"/>
  <c r="I243" i="1"/>
  <c r="H243" i="1" s="1"/>
  <c r="K242" i="1"/>
  <c r="I242" i="1"/>
  <c r="H242" i="1" s="1"/>
  <c r="K241" i="1"/>
  <c r="I241" i="1"/>
  <c r="J241" i="1" s="1"/>
  <c r="K240" i="1"/>
  <c r="J240" i="1"/>
  <c r="I240" i="1"/>
  <c r="K239" i="1"/>
  <c r="I239" i="1"/>
  <c r="J239" i="1" s="1"/>
  <c r="K238" i="1"/>
  <c r="J238" i="1"/>
  <c r="I238" i="1"/>
  <c r="K237" i="1"/>
  <c r="I237" i="1"/>
  <c r="J237" i="1" s="1"/>
  <c r="K236" i="1"/>
  <c r="I236" i="1"/>
  <c r="H236" i="1" s="1"/>
  <c r="K235" i="1"/>
  <c r="I235" i="1"/>
  <c r="H235" i="1" s="1"/>
  <c r="K234" i="1"/>
  <c r="I234" i="1"/>
  <c r="H234" i="1" s="1"/>
  <c r="K233" i="1"/>
  <c r="I233" i="1"/>
  <c r="H233" i="1"/>
  <c r="K232" i="1"/>
  <c r="I232" i="1"/>
  <c r="H232" i="1" s="1"/>
  <c r="K231" i="1"/>
  <c r="I231" i="1"/>
  <c r="H231" i="1" s="1"/>
  <c r="K230" i="1"/>
  <c r="I230" i="1"/>
  <c r="H230" i="1" s="1"/>
  <c r="K229" i="1"/>
  <c r="I229" i="1"/>
  <c r="H229" i="1"/>
  <c r="K228" i="1"/>
  <c r="I228" i="1"/>
  <c r="H228" i="1" s="1"/>
  <c r="K227" i="1"/>
  <c r="I227" i="1"/>
  <c r="H227" i="1"/>
  <c r="K226" i="1"/>
  <c r="I226" i="1"/>
  <c r="H226" i="1" s="1"/>
  <c r="K225" i="1"/>
  <c r="I225" i="1"/>
  <c r="H225" i="1"/>
  <c r="K224" i="1"/>
  <c r="I224" i="1"/>
  <c r="H224" i="1" s="1"/>
  <c r="K223" i="1"/>
  <c r="I223" i="1"/>
  <c r="H223" i="1" s="1"/>
  <c r="K222" i="1"/>
  <c r="J222" i="1"/>
  <c r="I222" i="1"/>
  <c r="K221" i="1"/>
  <c r="J221" i="1"/>
  <c r="I221" i="1"/>
  <c r="K220" i="1"/>
  <c r="J220" i="1"/>
  <c r="I220" i="1"/>
  <c r="K219" i="1"/>
  <c r="I219" i="1"/>
  <c r="J219" i="1" s="1"/>
  <c r="K218" i="1"/>
  <c r="J218" i="1"/>
  <c r="I218" i="1"/>
  <c r="K217" i="1"/>
  <c r="J217" i="1"/>
  <c r="I217" i="1"/>
  <c r="K216" i="1"/>
  <c r="J216" i="1"/>
  <c r="I216" i="1"/>
  <c r="K215" i="1"/>
  <c r="I215" i="1"/>
  <c r="J215" i="1" s="1"/>
  <c r="K214" i="1"/>
  <c r="J214" i="1"/>
  <c r="I214" i="1"/>
  <c r="K213" i="1"/>
  <c r="J213" i="1"/>
  <c r="I213" i="1"/>
  <c r="K212" i="1"/>
  <c r="J212" i="1"/>
  <c r="I212" i="1"/>
  <c r="K211" i="1"/>
  <c r="I211" i="1"/>
  <c r="J211" i="1" s="1"/>
  <c r="K210" i="1"/>
  <c r="J210" i="1"/>
  <c r="I210" i="1"/>
  <c r="K209" i="1"/>
  <c r="I209" i="1"/>
  <c r="H209" i="1" s="1"/>
  <c r="K208" i="1"/>
  <c r="I208" i="1"/>
  <c r="H208" i="1" s="1"/>
  <c r="K207" i="1"/>
  <c r="I207" i="1"/>
  <c r="H207" i="1"/>
  <c r="K206" i="1"/>
  <c r="I206" i="1"/>
  <c r="H206" i="1" s="1"/>
  <c r="K205" i="1"/>
  <c r="I205" i="1"/>
  <c r="H205" i="1"/>
  <c r="K204" i="1"/>
  <c r="I204" i="1"/>
  <c r="H204" i="1" s="1"/>
  <c r="K203" i="1"/>
  <c r="I203" i="1"/>
  <c r="H203" i="1"/>
  <c r="K202" i="1"/>
  <c r="I202" i="1"/>
  <c r="H202" i="1" s="1"/>
  <c r="K201" i="1"/>
  <c r="I201" i="1"/>
  <c r="H201" i="1"/>
  <c r="K200" i="1"/>
  <c r="I200" i="1"/>
  <c r="H200" i="1" s="1"/>
  <c r="K199" i="1"/>
  <c r="I199" i="1"/>
  <c r="H199" i="1"/>
  <c r="K198" i="1"/>
  <c r="I198" i="1"/>
  <c r="H198" i="1" s="1"/>
  <c r="K197" i="1"/>
  <c r="I197" i="1"/>
  <c r="H197" i="1" s="1"/>
  <c r="K196" i="1"/>
  <c r="I196" i="1"/>
  <c r="H196" i="1" s="1"/>
  <c r="K195" i="1"/>
  <c r="I195" i="1"/>
  <c r="J195" i="1" s="1"/>
  <c r="K194" i="1"/>
  <c r="J194" i="1"/>
  <c r="I194" i="1"/>
  <c r="K193" i="1"/>
  <c r="I193" i="1"/>
  <c r="J193" i="1" s="1"/>
  <c r="K192" i="1"/>
  <c r="J192" i="1"/>
  <c r="I192" i="1"/>
  <c r="K191" i="1"/>
  <c r="I191" i="1"/>
  <c r="J191" i="1" s="1"/>
  <c r="K190" i="1"/>
  <c r="J190" i="1"/>
  <c r="I190" i="1"/>
  <c r="K189" i="1"/>
  <c r="I189" i="1"/>
  <c r="J189" i="1" s="1"/>
  <c r="K188" i="1"/>
  <c r="J188" i="1"/>
  <c r="I188" i="1"/>
  <c r="K187" i="1"/>
  <c r="I187" i="1"/>
  <c r="J187" i="1" s="1"/>
  <c r="K186" i="1"/>
  <c r="J186" i="1"/>
  <c r="I186" i="1"/>
  <c r="K185" i="1"/>
  <c r="I185" i="1"/>
  <c r="J185" i="1" s="1"/>
  <c r="K184" i="1"/>
  <c r="J184" i="1"/>
  <c r="I184" i="1"/>
  <c r="K183" i="1"/>
  <c r="I183" i="1"/>
  <c r="J183" i="1" s="1"/>
  <c r="K182" i="1"/>
  <c r="I182" i="1"/>
  <c r="H182" i="1" s="1"/>
  <c r="K181" i="1"/>
  <c r="I181" i="1"/>
  <c r="H181" i="1" s="1"/>
  <c r="K180" i="1"/>
  <c r="I180" i="1"/>
  <c r="H180" i="1" s="1"/>
  <c r="K179" i="1"/>
  <c r="I179" i="1"/>
  <c r="H179" i="1" s="1"/>
  <c r="K178" i="1"/>
  <c r="I178" i="1"/>
  <c r="H178" i="1" s="1"/>
  <c r="K177" i="1"/>
  <c r="I177" i="1"/>
  <c r="H177" i="1" s="1"/>
  <c r="K176" i="1"/>
  <c r="I176" i="1"/>
  <c r="H176" i="1" s="1"/>
  <c r="K175" i="1"/>
  <c r="I175" i="1"/>
  <c r="H175" i="1"/>
  <c r="K174" i="1"/>
  <c r="I174" i="1"/>
  <c r="H174" i="1" s="1"/>
  <c r="K173" i="1"/>
  <c r="I173" i="1"/>
  <c r="H173" i="1" s="1"/>
  <c r="K172" i="1"/>
  <c r="I172" i="1"/>
  <c r="H172" i="1" s="1"/>
  <c r="K171" i="1"/>
  <c r="I171" i="1"/>
  <c r="H171" i="1"/>
  <c r="K170" i="1"/>
  <c r="I170" i="1"/>
  <c r="H170" i="1" s="1"/>
  <c r="K169" i="1"/>
  <c r="I169" i="1"/>
  <c r="H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Z107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I69" i="1"/>
  <c r="H69" i="1"/>
  <c r="K68" i="1"/>
  <c r="I68" i="1"/>
  <c r="H68" i="1"/>
  <c r="K67" i="1"/>
  <c r="I67" i="1"/>
  <c r="H67" i="1"/>
  <c r="K66" i="1"/>
  <c r="I66" i="1"/>
  <c r="H66" i="1"/>
  <c r="K65" i="1"/>
  <c r="I65" i="1"/>
  <c r="H65" i="1"/>
  <c r="K64" i="1"/>
  <c r="I64" i="1"/>
  <c r="H64" i="1"/>
  <c r="K63" i="1"/>
  <c r="I63" i="1"/>
  <c r="H63" i="1"/>
  <c r="K62" i="1"/>
  <c r="I62" i="1"/>
  <c r="H62" i="1"/>
  <c r="K61" i="1"/>
  <c r="I61" i="1"/>
  <c r="H61" i="1"/>
  <c r="K60" i="1"/>
  <c r="I60" i="1"/>
  <c r="H60" i="1"/>
  <c r="K59" i="1"/>
  <c r="I59" i="1"/>
  <c r="H59" i="1"/>
  <c r="K58" i="1"/>
  <c r="I58" i="1"/>
  <c r="H58" i="1"/>
  <c r="K57" i="1"/>
  <c r="I57" i="1"/>
  <c r="H57" i="1"/>
  <c r="K56" i="1"/>
  <c r="I56" i="1"/>
  <c r="H56" i="1"/>
  <c r="K55" i="1"/>
  <c r="I55" i="1"/>
  <c r="H55" i="1"/>
  <c r="K54" i="1"/>
  <c r="I54" i="1"/>
  <c r="H54" i="1"/>
  <c r="K53" i="1"/>
  <c r="I53" i="1"/>
  <c r="H53" i="1"/>
  <c r="K52" i="1"/>
  <c r="I52" i="1"/>
  <c r="H52" i="1"/>
  <c r="K51" i="1"/>
  <c r="I51" i="1"/>
  <c r="H51" i="1"/>
  <c r="K50" i="1"/>
  <c r="I50" i="1"/>
  <c r="H50" i="1"/>
  <c r="K49" i="1"/>
  <c r="I49" i="1"/>
  <c r="H49" i="1"/>
  <c r="K48" i="1"/>
  <c r="I48" i="1"/>
  <c r="H48" i="1"/>
  <c r="K47" i="1"/>
  <c r="I47" i="1"/>
  <c r="H47" i="1"/>
  <c r="K46" i="1"/>
  <c r="I46" i="1"/>
  <c r="H46" i="1"/>
  <c r="K45" i="1"/>
  <c r="I45" i="1"/>
  <c r="H45" i="1"/>
  <c r="K44" i="1"/>
  <c r="I44" i="1"/>
  <c r="H44" i="1"/>
  <c r="K43" i="1"/>
  <c r="I43" i="1"/>
  <c r="H43" i="1"/>
  <c r="K42" i="1"/>
  <c r="I42" i="1"/>
  <c r="H42" i="1"/>
  <c r="K41" i="1"/>
  <c r="I41" i="1"/>
  <c r="H41" i="1"/>
  <c r="K40" i="1"/>
  <c r="I40" i="1"/>
  <c r="H40" i="1"/>
  <c r="K39" i="1"/>
  <c r="I39" i="1"/>
  <c r="H39" i="1"/>
  <c r="K38" i="1"/>
  <c r="I38" i="1"/>
  <c r="H38" i="1"/>
  <c r="K37" i="1"/>
  <c r="I37" i="1"/>
  <c r="H37" i="1"/>
  <c r="K36" i="1"/>
  <c r="I36" i="1"/>
  <c r="H36" i="1"/>
  <c r="K35" i="1"/>
  <c r="I35" i="1"/>
  <c r="H35" i="1"/>
  <c r="K34" i="1"/>
  <c r="I34" i="1"/>
  <c r="H34" i="1"/>
  <c r="K33" i="1"/>
  <c r="I33" i="1"/>
  <c r="H33" i="1"/>
  <c r="K32" i="1"/>
  <c r="I32" i="1"/>
  <c r="H32" i="1"/>
  <c r="K31" i="1"/>
  <c r="I31" i="1"/>
  <c r="H31" i="1"/>
  <c r="K30" i="1"/>
  <c r="I30" i="1"/>
  <c r="H30" i="1"/>
  <c r="K29" i="1"/>
  <c r="I29" i="1"/>
  <c r="H29" i="1"/>
  <c r="K28" i="1"/>
  <c r="I28" i="1"/>
  <c r="H28" i="1"/>
  <c r="K27" i="1"/>
  <c r="I27" i="1"/>
  <c r="H27" i="1"/>
  <c r="K26" i="1"/>
  <c r="I26" i="1"/>
  <c r="H26" i="1"/>
  <c r="K25" i="1"/>
  <c r="I25" i="1"/>
  <c r="H25" i="1"/>
  <c r="K24" i="1"/>
  <c r="I24" i="1"/>
  <c r="H24" i="1"/>
  <c r="K23" i="1"/>
  <c r="I23" i="1"/>
  <c r="H23" i="1"/>
  <c r="K22" i="1"/>
  <c r="I22" i="1"/>
  <c r="H22" i="1"/>
  <c r="K21" i="1"/>
  <c r="I21" i="1"/>
  <c r="H21" i="1"/>
  <c r="K20" i="1"/>
  <c r="I20" i="1"/>
  <c r="H20" i="1"/>
  <c r="K19" i="1"/>
  <c r="I19" i="1"/>
  <c r="H19" i="1"/>
  <c r="K18" i="1"/>
  <c r="I18" i="1"/>
  <c r="H18" i="1"/>
  <c r="K17" i="1"/>
  <c r="I17" i="1"/>
  <c r="H17" i="1"/>
  <c r="K16" i="1"/>
  <c r="I16" i="1"/>
  <c r="H16" i="1"/>
  <c r="K15" i="1"/>
  <c r="I15" i="1"/>
  <c r="H15" i="1"/>
  <c r="K14" i="1"/>
  <c r="I14" i="1"/>
  <c r="H14" i="1"/>
  <c r="K13" i="1"/>
  <c r="I13" i="1"/>
  <c r="H13" i="1"/>
  <c r="K12" i="1"/>
  <c r="I12" i="1"/>
  <c r="H12" i="1"/>
  <c r="K11" i="1"/>
  <c r="I11" i="1"/>
  <c r="H11" i="1"/>
  <c r="K10" i="1"/>
  <c r="I10" i="1"/>
  <c r="H10" i="1"/>
  <c r="K9" i="1"/>
  <c r="I9" i="1"/>
  <c r="H9" i="1"/>
  <c r="K8" i="1"/>
  <c r="I8" i="1"/>
  <c r="H8" i="1"/>
  <c r="K7" i="1"/>
  <c r="I7" i="1"/>
  <c r="H7" i="1"/>
  <c r="K6" i="1"/>
  <c r="I6" i="1"/>
  <c r="H6" i="1"/>
  <c r="K5" i="1"/>
  <c r="I5" i="1"/>
  <c r="H5" i="1"/>
  <c r="K4" i="1"/>
  <c r="I4" i="1"/>
  <c r="H4" i="1"/>
  <c r="K3" i="1"/>
  <c r="I3" i="1"/>
  <c r="H3" i="1"/>
  <c r="K2" i="1"/>
  <c r="I2" i="1"/>
  <c r="H2" i="1"/>
  <c r="R26" i="2" l="1"/>
  <c r="S26" i="2" s="1"/>
  <c r="T26" i="2" s="1"/>
  <c r="Z26" i="2"/>
  <c r="AA26" i="2" s="1"/>
  <c r="AB26" i="2" s="1"/>
  <c r="Z36" i="2"/>
  <c r="AA36" i="2" s="1"/>
  <c r="AB36" i="2" s="1"/>
  <c r="R36" i="2"/>
  <c r="S36" i="2" s="1"/>
  <c r="T36" i="2" s="1"/>
  <c r="AI18" i="2"/>
  <c r="AJ18" i="2" s="1"/>
  <c r="AK18" i="2" s="1"/>
  <c r="AL18" i="2" s="1"/>
  <c r="AM18" i="2" s="1"/>
  <c r="AI19" i="2"/>
  <c r="AJ19" i="2" s="1"/>
  <c r="AK19" i="2" s="1"/>
  <c r="AL19" i="2" s="1"/>
  <c r="AM19" i="2" s="1"/>
  <c r="U21" i="2"/>
  <c r="Q21" i="2"/>
  <c r="AI27" i="2"/>
  <c r="AJ27" i="2" s="1"/>
  <c r="AK27" i="2" s="1"/>
  <c r="AL27" i="2" s="1"/>
  <c r="AM27" i="2" s="1"/>
  <c r="AI29" i="2"/>
  <c r="AJ29" i="2" s="1"/>
  <c r="AK29" i="2" s="1"/>
  <c r="AL29" i="2" s="1"/>
  <c r="AM29" i="2" s="1"/>
  <c r="Q16" i="2"/>
  <c r="Z16" i="2" l="1"/>
  <c r="AA16" i="2" s="1"/>
  <c r="AB16" i="2" s="1"/>
  <c r="R16" i="2"/>
  <c r="S16" i="2" s="1"/>
  <c r="T16" i="2" s="1"/>
  <c r="Z21" i="2"/>
  <c r="AA21" i="2" s="1"/>
  <c r="AB21" i="2" s="1"/>
  <c r="R21" i="2"/>
  <c r="S21" i="2" s="1"/>
  <c r="T21" i="2" s="1"/>
  <c r="J266" i="1"/>
  <c r="J268" i="1"/>
  <c r="J270" i="1"/>
  <c r="J269" i="1"/>
  <c r="J267" i="1"/>
</calcChain>
</file>

<file path=xl/sharedStrings.xml><?xml version="1.0" encoding="utf-8"?>
<sst xmlns="http://schemas.openxmlformats.org/spreadsheetml/2006/main" count="2196" uniqueCount="566">
  <si>
    <t>Kommentar</t>
  </si>
  <si>
    <t>Kalibrierdateiname</t>
  </si>
  <si>
    <t>Offset</t>
  </si>
  <si>
    <t>Dateiname</t>
  </si>
  <si>
    <t>Datum</t>
  </si>
  <si>
    <t>Uhrzeit</t>
  </si>
  <si>
    <t>eingestellter 
Gasstrom</t>
  </si>
  <si>
    <t>Realer Gasstrom</t>
  </si>
  <si>
    <t>Gasgeschwindigkeit</t>
  </si>
  <si>
    <t>Flüssigkeitsstrom</t>
  </si>
  <si>
    <t>Flüssigkeitsgeschwindigkeit</t>
  </si>
  <si>
    <t>Umgebungstemperatur</t>
  </si>
  <si>
    <t>Umgebungsdruck</t>
  </si>
  <si>
    <t>Vordruck</t>
  </si>
  <si>
    <t>Kameraposition</t>
  </si>
  <si>
    <t>Letzte Erneuerung 
des Wassers</t>
  </si>
  <si>
    <t>Kanalmaterial</t>
  </si>
  <si>
    <t>Kanalform</t>
  </si>
  <si>
    <t>Kanalmaße</t>
  </si>
  <si>
    <t>Nadeldurchmesser</t>
  </si>
  <si>
    <t>Genutzter MFC</t>
  </si>
  <si>
    <t>CO2-Anteil</t>
  </si>
  <si>
    <t>Kanallaenge</t>
  </si>
  <si>
    <t>Übergang zu Blasenfluss</t>
  </si>
  <si>
    <t>0.15_0.1_Position_1</t>
  </si>
  <si>
    <t>Glas</t>
  </si>
  <si>
    <t>quadratisch</t>
  </si>
  <si>
    <t>Testsystem</t>
  </si>
  <si>
    <t>Taylorflow</t>
  </si>
  <si>
    <t>0.15_0.06_Position_1</t>
  </si>
  <si>
    <t>0.15_0.02_Position_1</t>
  </si>
  <si>
    <t>Taylorflow mit variierender Blasen- und Sluglänge</t>
  </si>
  <si>
    <t>0.15_0.0135_Position_1</t>
  </si>
  <si>
    <t>0.07_0.1_Position_1</t>
  </si>
  <si>
    <t>0.07_0.06_Position_1</t>
  </si>
  <si>
    <t>0.07_0.042_Position_1</t>
  </si>
  <si>
    <t>Unregelmäßige Blasenlänge. immer wieder Unterbrochen durch Filmströmung</t>
  </si>
  <si>
    <t>0.07_0.02_Position_1</t>
  </si>
  <si>
    <t>Blasenfluss</t>
  </si>
  <si>
    <t>0.015_0.1_Position_1</t>
  </si>
  <si>
    <t>0.015_0.06_Position_1</t>
  </si>
  <si>
    <t>0.015_0.02_Position_1</t>
  </si>
  <si>
    <t>Bei einer Kombination aus niedrigen Gasflüssen und niedrigen Flüssigkeitsflüssen wird das System unregelmäßig</t>
  </si>
  <si>
    <t>Unregelmäßiger Fluss mit vereinzelten Taylorblasen. variieren stark in der Länge</t>
  </si>
  <si>
    <t>0.015_0.008_Position_1</t>
  </si>
  <si>
    <t>Ausschlaggebend ist die Pumpe der Flüssigkeit, hohe Gasflussraten lassen das System trotz niedriger Flüssigkeitsraten stabiler bleiben</t>
  </si>
  <si>
    <t>0.0015_0.02_Position_1</t>
  </si>
  <si>
    <t>0.0015_0.008_Position_1</t>
  </si>
  <si>
    <t>0.19_0.15_Position_1</t>
  </si>
  <si>
    <t>Leitfähigkeit des Wassers nach befüllen:</t>
  </si>
  <si>
    <t>4 mikrosievert/cm</t>
  </si>
  <si>
    <t>(09:30)</t>
  </si>
  <si>
    <t>0.19_0.1_Position_1</t>
  </si>
  <si>
    <t>0.19_0.06_Position_1</t>
  </si>
  <si>
    <t>0.19_0.04_Position_1</t>
  </si>
  <si>
    <t>0.19_0.02_Position_1</t>
  </si>
  <si>
    <t>0.19_0.008_Position_1</t>
  </si>
  <si>
    <t>0.19_0.17_Position_1</t>
  </si>
  <si>
    <t>0.15_0.04_Position_1</t>
  </si>
  <si>
    <t>0.11_0.1_Position_1</t>
  </si>
  <si>
    <t>0.11_0.08_Position_1</t>
  </si>
  <si>
    <t>0.11_0.06_Position_1</t>
  </si>
  <si>
    <t>0.11_0.04_Position_1</t>
  </si>
  <si>
    <t>0.11_0.02_Position_1</t>
  </si>
  <si>
    <t>0.15_0.08_Position_1</t>
  </si>
  <si>
    <t>0.07_0.08_Position_1</t>
  </si>
  <si>
    <t>0.07_0.04_Position_1</t>
  </si>
  <si>
    <t>0.11_0.01_Position_1</t>
  </si>
  <si>
    <t>0.19_0.08_Position_1</t>
  </si>
  <si>
    <t>0.19_0.17_Position_2</t>
  </si>
  <si>
    <t>0.19_0.15_Position_2</t>
  </si>
  <si>
    <t>0.19_0.1_Position_2</t>
  </si>
  <si>
    <t>0.19_0.08_Position_2</t>
  </si>
  <si>
    <t>0.19_0.06_Position_2</t>
  </si>
  <si>
    <t>0.19_0.04_Position_2</t>
  </si>
  <si>
    <t>0.19_0.02_Position_2</t>
  </si>
  <si>
    <t>0.15_0.1_Position_2</t>
  </si>
  <si>
    <t>0.15_0.08_Position_2</t>
  </si>
  <si>
    <t>Taylorflow der sich zu Blasenströmung entwickelt</t>
  </si>
  <si>
    <t>0.15_0.06_Position_2</t>
  </si>
  <si>
    <t>0.15_0.04_Position_2</t>
  </si>
  <si>
    <t>0.15_0.02_Position_2</t>
  </si>
  <si>
    <t>0.11_0.1_Position_2</t>
  </si>
  <si>
    <t>0.11_0.08_Position_2</t>
  </si>
  <si>
    <t>0.11_0.06_Position_2</t>
  </si>
  <si>
    <t>0.11_0.04_Position_2</t>
  </si>
  <si>
    <t>Keine Taylorflow ausbildung durch unregelmäßiges Pumpen</t>
  </si>
  <si>
    <t>0.11_0.02_Position_2</t>
  </si>
  <si>
    <t>0.07_0.1_Position_2</t>
  </si>
  <si>
    <t>0.07_0.08_Position_2</t>
  </si>
  <si>
    <t>0.07_0.06_Position_2</t>
  </si>
  <si>
    <t>0.07_0.04_Position_2</t>
  </si>
  <si>
    <t>0.19_0.1_Position_3</t>
  </si>
  <si>
    <t>0.19_0.08_Position_3</t>
  </si>
  <si>
    <t>0.19_0.06_Position_3</t>
  </si>
  <si>
    <t>Unregelmäßiger Taylorfluss durch Pumpschwankungen</t>
  </si>
  <si>
    <t>0.19_0.04_Position_3</t>
  </si>
  <si>
    <t>0.19_0.02_Position_3</t>
  </si>
  <si>
    <t>0.15_0.08_Position_3</t>
  </si>
  <si>
    <t>0.15_0.06_Position_3</t>
  </si>
  <si>
    <t>0.15_0.04_Position_3</t>
  </si>
  <si>
    <t>0.15_0.02_Position_3</t>
  </si>
  <si>
    <t>0.11_0.06_Position_3</t>
  </si>
  <si>
    <t>0.11_0.04_Position_3</t>
  </si>
  <si>
    <t>0.11_0.02_Position_3</t>
  </si>
  <si>
    <t>0.07_0.04_Position_3</t>
  </si>
  <si>
    <t>Kalibrierung_1_Pos_1</t>
  </si>
  <si>
    <t>0.07_0.01_Pos_1_Q_1000_Glas_600</t>
  </si>
  <si>
    <t>0.07_0.02_Pos_1_Q_1000_Glas_600</t>
  </si>
  <si>
    <t>0.07_0.056_Pos_1_Q_1000_Glas_600</t>
  </si>
  <si>
    <t>0.07_0.04_Pos_1_Q_1000_Glas_600</t>
  </si>
  <si>
    <t>0.07_0.167_Pos_1_Q_1000_Glas_600</t>
  </si>
  <si>
    <t>0.07_0.12_Pos_1_Q_1000_Glas_600</t>
  </si>
  <si>
    <t>0.07_0.06_Pos_1_Q_1000_Glas_600</t>
  </si>
  <si>
    <t>0.07_0.08_Pos_1_Q_1000_Glas_600</t>
  </si>
  <si>
    <t>0.07_0.1_Pos_1_Q_1000_Glas_600</t>
  </si>
  <si>
    <t>0.07_0.111_Pos_1_Q_1000_Glas_600</t>
  </si>
  <si>
    <t>0.134_0.01_Pos_1_Q_1000_Glas_600</t>
  </si>
  <si>
    <t>0.134_0.02_Pos_1_Q_1000_Glas_600</t>
  </si>
  <si>
    <t>0.134_0.12_Pos_1_Q_1000_Glas_600</t>
  </si>
  <si>
    <t>0.134_0.198_Pos_1_Q_1000_Glas_600</t>
  </si>
  <si>
    <t>0.134_0.167_Pos_1_Q_1000_Glas_600</t>
  </si>
  <si>
    <t>0.134_0.194_Pos_1_Q_1000_Glas_600</t>
  </si>
  <si>
    <t>0.134_0.25_Pos_1_Q_1000_Glas_600</t>
  </si>
  <si>
    <t>0.134_0.111_Pos_1_Q_1000_Glas_600</t>
  </si>
  <si>
    <t>0.134_0.056_Pos_1_Q_1000_Glas_600</t>
  </si>
  <si>
    <t>0.198_0.01_Pos_1_Q_1000_Glas_600</t>
  </si>
  <si>
    <t>0.198_0.02_Pos_1_Q_1000_Glas_600</t>
  </si>
  <si>
    <t>0.198_0.056_Pos_1_Q_1000_Glas_600</t>
  </si>
  <si>
    <t>0.198_0.111_Pos_1_Q_1000_Glas_600</t>
  </si>
  <si>
    <t>0.198_0.167_Pos_1_Q_1000_Glas_600</t>
  </si>
  <si>
    <t>0.198_0.194_Pos_1_Q_1000_Glas_600</t>
  </si>
  <si>
    <t>0.198_0.25_Pos_1_Q_1000_Glas_600</t>
  </si>
  <si>
    <t>0.198_0.4_Pos_1_Q_1000_Glas_600</t>
  </si>
  <si>
    <t>Unregelmäßige Blasenlänge. kein Blasenfluss</t>
  </si>
  <si>
    <t>0.198_0.5_Pos_1_Q_1000_Glas_600</t>
  </si>
  <si>
    <t>0.263_0.01_Pos_1_Q_1000_Glas_600</t>
  </si>
  <si>
    <t>0.263_0.02_Pos_1_Q_1000_Glas_600</t>
  </si>
  <si>
    <t>0.263_0.056_Pos_1_Q_1000_Glas_600</t>
  </si>
  <si>
    <t>0.263_0.111_Pos_1_Q_1000_Glas_600</t>
  </si>
  <si>
    <t>0.263_0.167_Pos_1_Q_1000_Glas_600</t>
  </si>
  <si>
    <t>0.263_0.194_Pos_1_Q_1000_Glas_600</t>
  </si>
  <si>
    <t>0.263_0.25_Pos_1_Q_1000_Glas_600</t>
  </si>
  <si>
    <t>0.263_0.4_Pos_1_Q_1000_Glas_600</t>
  </si>
  <si>
    <t>0.263_0.5_Pos_1_Q_1000_Glas_600</t>
  </si>
  <si>
    <t>0.004_0.02_Pos_1_Q_1000_Glas_600</t>
  </si>
  <si>
    <t>0.004_0.056_Pos_1_Q_1000_Glas_600</t>
  </si>
  <si>
    <t>0.004_0.111_Pos_1_Q_1000_Glas_600</t>
  </si>
  <si>
    <t>Kalibrierung_1_Pos_2</t>
  </si>
  <si>
    <t>0.004_0.056_Pos_2_Q_1000_Glas_600</t>
  </si>
  <si>
    <t>0.07_0.02_Pos_2_Q_1000_Glas_600</t>
  </si>
  <si>
    <t>0.07_0.056_Pos_2_Q_1000_Glas_600</t>
  </si>
  <si>
    <t>0.07_0.111_Pos_2_Q_1000_Glas_600</t>
  </si>
  <si>
    <t>0.134_0.02_Pos_2_Q_1000_Glas_600</t>
  </si>
  <si>
    <t>0.134_0.056_Pos_2_Q_1000_Glas_600</t>
  </si>
  <si>
    <t>0.134_0.111_Pos_2_Q_1000_Glas_600</t>
  </si>
  <si>
    <t>0.134_0.167_Pos_2_Q_1000_Glas_600</t>
  </si>
  <si>
    <t>0.134_0.194_Pos_2_Q_1000_Glas_600</t>
  </si>
  <si>
    <t>0.198_0.02_Pos_2_Q_1000_Glas_600</t>
  </si>
  <si>
    <t>0.198_0.056_Pos_2_Q_1000_Glas_600</t>
  </si>
  <si>
    <t>0.198_0.111_Pos_2_Q_1000_Glas_600</t>
  </si>
  <si>
    <t>0.198_0.167_Pos_2_Q_1000_Glas_600</t>
  </si>
  <si>
    <t>0.198_0.194_Pos_2_Q_1000_Glas_600</t>
  </si>
  <si>
    <t>0.198_0.25_Pos_2_Q_1000_Glas_600</t>
  </si>
  <si>
    <t>0.198_0.4_Pos_2_Q_1000_Glas_600</t>
  </si>
  <si>
    <t>0.263_0.02_Pos_2_Q_1000_Glas_600</t>
  </si>
  <si>
    <t>0.263_0.056_Pos_2_Q_1000_Glas_600</t>
  </si>
  <si>
    <t>0.263_0.111_Pos_2_Q_1000_Glas_600</t>
  </si>
  <si>
    <t>0.263_0.167_Pos_2_Q_1000_Glas_600</t>
  </si>
  <si>
    <t>0.263_0.194_Pos_2_Q_1000_Glas_600</t>
  </si>
  <si>
    <t>0.263_0.25_Pos_2_Q_1000_Glas_600</t>
  </si>
  <si>
    <t>0.263_0.4_Pos_2_Q_1000_Glas_600</t>
  </si>
  <si>
    <t>Kalibrierung_1_Pos_3</t>
  </si>
  <si>
    <t>0.004_0.056_Pos_3_Q_1000_Glas_600</t>
  </si>
  <si>
    <t>0.07_0.02_Pos_3_Q_1000_Glas_600</t>
  </si>
  <si>
    <t>Unregelmäßige Blasenlänge, kein Blasenfluss</t>
  </si>
  <si>
    <t>0.07_0.056_Pos_3_Q_1000_Glas_600</t>
  </si>
  <si>
    <t>0.07_0.111_Pos_3_Q_1000_Glas_600</t>
  </si>
  <si>
    <t>0.134_0.02_Pos_3_Q_1000_Glas_600</t>
  </si>
  <si>
    <t>0.134_0.056_Pos_3_Q_1000_Glas_600</t>
  </si>
  <si>
    <t>0.134_0.111_Pos_3_Q_1000_Glas_600</t>
  </si>
  <si>
    <t>0.134_0.167_Pos_3_Q_1000_Glas_600</t>
  </si>
  <si>
    <t>Pos1</t>
  </si>
  <si>
    <t>Pos2</t>
  </si>
  <si>
    <t>0.134_0.194_Pos_3_Q_1000_Glas_600</t>
  </si>
  <si>
    <t>0.198_0.02_Pos_3_Q_1000_Glas_600</t>
  </si>
  <si>
    <t>0.198_0.056_Pos_3_Q_1000_Glas_600</t>
  </si>
  <si>
    <t>0.198_0.111_Pos_3_Q_1000_Glas_600</t>
  </si>
  <si>
    <t>0.198_0.167_Pos_3_Q_1000_Glas_600</t>
  </si>
  <si>
    <t>0.198_0.194_Pos_3_Q_1000_Glas_600</t>
  </si>
  <si>
    <t>0.198_0.25_Pos_3_Q_1000_Glas_600</t>
  </si>
  <si>
    <t>0.198_0.4_Pos_3_Q_1000_Glas_600</t>
  </si>
  <si>
    <t>Sensitivität=0.7, close_height = 4</t>
  </si>
  <si>
    <t>Kalibrierung_2_Pos_3</t>
  </si>
  <si>
    <t>0.263_0.02_Pos_3_Q_1000_Glas_600</t>
  </si>
  <si>
    <t>0.263_0.056_Pos_3_Q_1000_Glas_600</t>
  </si>
  <si>
    <t>0.263_0.111_Pos_3_Q_1000_Glas_600</t>
  </si>
  <si>
    <t>0.263_0.167_Pos_3_Q_1000_Glas_600</t>
  </si>
  <si>
    <t>0.263_0.194_Pos_3_Q_1000_Glas_600</t>
  </si>
  <si>
    <t>0.263_0.25_Pos_3_Q_1000_Glas_600</t>
  </si>
  <si>
    <t>0.263_0.4_Pos_3_Q_1000_Glas_600</t>
  </si>
  <si>
    <t>Taylor-Blasen gehen über in Blasen mit Flacher Stirn und Endkappe. strom reißt immer wieder ab</t>
  </si>
  <si>
    <t>Kalibrierung_1_Pos_1_23.03.2026</t>
  </si>
  <si>
    <t>0.057_0.056_Pos_1_R_1000_PVC_600</t>
  </si>
  <si>
    <t>PVC</t>
  </si>
  <si>
    <t>rund</t>
  </si>
  <si>
    <t>0.057_0.111_Pos_1_R_1000_PVC_600</t>
  </si>
  <si>
    <t>0.122_0.056_Pos_1_R_1000_PVC_600</t>
  </si>
  <si>
    <t>0.122_0.111_Pos_1_R_1000_PVC_600</t>
  </si>
  <si>
    <t>0.122_0.167_Pos_1_R_1000_PVC_600</t>
  </si>
  <si>
    <t>0.186_0.056_Pos_1_R_1000_PVC_600</t>
  </si>
  <si>
    <t>0.186_0.111_Pos_1_R_1000_PVC_600</t>
  </si>
  <si>
    <t>0.186_0.167_Pos_1_R_1000_PVC_600</t>
  </si>
  <si>
    <t>0.186_0.25_Pos_1_R_1000_PVC_600</t>
  </si>
  <si>
    <t>0.251_0.056_Pos_1_R_1000_PVC_600</t>
  </si>
  <si>
    <t>0.251_0.111_Pos_1_R_1000_PVC_600</t>
  </si>
  <si>
    <t>0.251_0.167_Pos_1_R_1000_PVC_600</t>
  </si>
  <si>
    <t>0.251_0.25_Pos_1_R_1000_PVC_600</t>
  </si>
  <si>
    <t>Kalibrierung_1_Pos_1_26.03.2026</t>
  </si>
  <si>
    <t>0.07_0.056_Pos_1_R_1000_PVC_800</t>
  </si>
  <si>
    <t>0.07_0.111_Pos_1_R_1000_PVC_800</t>
  </si>
  <si>
    <t>0.134_0.056_Pos_1_R_1000_PVC_800</t>
  </si>
  <si>
    <t>0.134_0.111_Pos_1_R_1000_PVC_800</t>
  </si>
  <si>
    <t>0.134_0.167_Pos_1_R_1000_PVC_800</t>
  </si>
  <si>
    <t>0.134_0.25_Pos_1_R_1000_PVC_800</t>
  </si>
  <si>
    <t>0.198_0.056_Pos_1_R_1000_PVC_800</t>
  </si>
  <si>
    <t>0.198_0.111_Pos_1_R_1000_PVC_800</t>
  </si>
  <si>
    <t>0.198_0.167_Pos_1_R_1000_PVC_800</t>
  </si>
  <si>
    <t>0.198_0.25_Pos_1_R_1000_PVC_800</t>
  </si>
  <si>
    <t>0.263_0.056_Pos_1_R_1000_PVC_800</t>
  </si>
  <si>
    <t>0.263_0.111_Pos_1_R_1000_PVC_800</t>
  </si>
  <si>
    <t>0.263_0.167_Pos_1_R_1000_PVC_800</t>
  </si>
  <si>
    <t>0.263_0.25_Pos_1_R_1000_PVC_800</t>
  </si>
  <si>
    <t>Offset: 152,5, Sensitivität=0.65, close_height = 6</t>
  </si>
  <si>
    <t>Kalibrierung_1_Pos_2_23.03.2026</t>
  </si>
  <si>
    <t>0.057_0.056_Pos_2_R_1000_PVC_600</t>
  </si>
  <si>
    <t>0.057_0.111_Pos_2_R_1000_PVC_600</t>
  </si>
  <si>
    <t>0.122_0.056_Pos_2_R_1000_PVC_600</t>
  </si>
  <si>
    <t>0.122_0.111_Pos_2_R_1000_PVC_600</t>
  </si>
  <si>
    <t>0.122_0.167_Pos_2_R_1000_PVC_600</t>
  </si>
  <si>
    <t>0.186_0.056_Pos_2_R_1000_PVC_600</t>
  </si>
  <si>
    <t>0.186_0.111_Pos_2_R_1000_PVC_600</t>
  </si>
  <si>
    <t>0.186_0.167_Pos_2_R_1000_PVC_600</t>
  </si>
  <si>
    <t>0.186_0.25_Pos_2_R_1000_PVC_600</t>
  </si>
  <si>
    <t>0.251_0.056_Pos_2_R_1000_PVC_600</t>
  </si>
  <si>
    <t>0.251_0.111_Pos_2_R_1000_PVC_600</t>
  </si>
  <si>
    <t>0.251_0.167_Pos_2_R_1000_PVC_600</t>
  </si>
  <si>
    <t>0.251_0.25_Pos_2_R_1000_PVC_600</t>
  </si>
  <si>
    <t>Kalibrierung_2_Pos_2_26.03.2026</t>
  </si>
  <si>
    <t>0.07_0.056_Pos_2_R_1000_PVC_800</t>
  </si>
  <si>
    <t>0.07_0.111_Pos_2_R_1000_PVC_800</t>
  </si>
  <si>
    <t xml:space="preserve"> Blasen mit Flacher Stirn und Endkappe</t>
  </si>
  <si>
    <t>0.134_0.056_Pos_2_R_1000_PVC_800</t>
  </si>
  <si>
    <t>0.134_0.111_Pos_2_R_1000_PVC_800</t>
  </si>
  <si>
    <t>0.134_0.167_Pos_2_R_1000_PVC_800</t>
  </si>
  <si>
    <t>0.134_0.25_Pos_2_R_1000_PVC_800</t>
  </si>
  <si>
    <t>0.198_0.056_Pos_2_R_1000_PVC_800</t>
  </si>
  <si>
    <t>0.198_0.111_Pos_2_R_1000_PVC_800</t>
  </si>
  <si>
    <t>0.198_0.167_Pos_2_R_1000_PVC_800</t>
  </si>
  <si>
    <t>0.198_0.25_Pos_2_R_1000_PVC_800</t>
  </si>
  <si>
    <t>0.263_0.056_Pos_2_R_1000_PVC_800</t>
  </si>
  <si>
    <t>0.263_0.111_Pos_2_R_1000_PVC_800</t>
  </si>
  <si>
    <t>0.263_0.167_Pos_2_R_1000_PVC_800</t>
  </si>
  <si>
    <t>0.263_0.25_Pos_2_R_1000_PVC_800</t>
  </si>
  <si>
    <t>Offset: 453,5, Sensitivität=0.65, close_height = 6</t>
  </si>
  <si>
    <t>Kalibrierung_1_Pos_3_23.03.2026</t>
  </si>
  <si>
    <t>0.057_0.056_Pos_3_R_1000_PVC_600</t>
  </si>
  <si>
    <t>Taylorflow mit vereinzelten großen Blasen</t>
  </si>
  <si>
    <t>0.057_0.111_Pos_3_R_1000_PVC_600</t>
  </si>
  <si>
    <t>0.122_0.056_Pos_3_R_1000_PVC_600</t>
  </si>
  <si>
    <t>0.122_0.111_Pos_3_R_1000_PVC_600</t>
  </si>
  <si>
    <t>0.122_0.167_Pos_3_R_1000_PVC_600</t>
  </si>
  <si>
    <t>0.186_0.056_Pos_3_R_1000_PVC_600</t>
  </si>
  <si>
    <t>0.186_0.111_Pos_3_R_1000_PVC_600</t>
  </si>
  <si>
    <t>0.186_0.167_Pos_3_R_1000_PVC_600</t>
  </si>
  <si>
    <t>0.186_0.25_Pos_3_R_1000_PVC_600</t>
  </si>
  <si>
    <t>0.251_0.056_Pos_3_R_1000_PVC_600</t>
  </si>
  <si>
    <t>0.251_0.111_Pos_3_R_1000_PVC_600</t>
  </si>
  <si>
    <t>0.251_0.167_Pos_3_R_1000_PVC_600</t>
  </si>
  <si>
    <t>0.251_0.25_Pos_3_R_1000_PVC_600</t>
  </si>
  <si>
    <t>Kalibrierung_1_Pos_3_26.03.2026</t>
  </si>
  <si>
    <t>0.07_0.056_Pos_3_R_1000_PVC_800</t>
  </si>
  <si>
    <t>0.07_0.111_Pos_3_R_1000_PVC_800</t>
  </si>
  <si>
    <t>0.134_0.056_Pos_3_R_1000_PVC_800</t>
  </si>
  <si>
    <t>0.134_0.111_Pos_3_R_1000_PVC_800</t>
  </si>
  <si>
    <t>0.134_0.167_Pos_3_R_1000_PVC_800</t>
  </si>
  <si>
    <t>0.134_0.25_Pos_3_R_1000_PVC_800</t>
  </si>
  <si>
    <t>0.198_0.056_Pos_3_R_1000_PVC_800</t>
  </si>
  <si>
    <t>0.198_0.111_Pos_3_R_1000_PVC_800</t>
  </si>
  <si>
    <t>0.198_0.167_Pos_3_R_1000_PVC_800</t>
  </si>
  <si>
    <t>0.198_0.25_Pos_3_R_1000_PVC_800</t>
  </si>
  <si>
    <t>0.263_0.056_Pos_3_R_1000_PVC_800</t>
  </si>
  <si>
    <t>0.263_0.111_Pos_3_R_1000_PVC_800</t>
  </si>
  <si>
    <t>0.263_0.167_Pos_3_R_1000_PVC_800</t>
  </si>
  <si>
    <t>0.263_0.25_Pos_3_R_1000_PVC_800</t>
  </si>
  <si>
    <t>Solidität = 1, Sensitivität = 0,85, close Height = 5</t>
  </si>
  <si>
    <t>Kalibrierung_2_Pos_1_24.03.26</t>
  </si>
  <si>
    <t>0.122_0.111_Pos_1_R_1000_PVC_600_Druck</t>
  </si>
  <si>
    <t>0.186_0.056_Pos_1_R_1000_PVC_600_Druck</t>
  </si>
  <si>
    <t>0.186_0.25_Pos_1_R_1000_PVC_600_Druck</t>
  </si>
  <si>
    <t>0.251_0.056_Pos_1_R_1000_PVC_600_Druck</t>
  </si>
  <si>
    <t>0.251_0.25_Pos_1_R_1000_PVC_600_Druck</t>
  </si>
  <si>
    <t>Kalibrierung_1_Pos_1_27.03.2026</t>
  </si>
  <si>
    <t>0.07_0.111_Pos_1_R_1000_PVC_800_Druck</t>
  </si>
  <si>
    <t>0.134_0.167_Pos_1_R_1000_PVC_800_Druck</t>
  </si>
  <si>
    <t>0.198_0.056_Pos_1_R_1000_PVC_800_Druck</t>
  </si>
  <si>
    <t>0.198_0.167_Pos_1_R_1000_PVC_800_Druck</t>
  </si>
  <si>
    <t>0.198_0.25_Pos_1_R_1000_PVC_800_Druck</t>
  </si>
  <si>
    <t>0.263_0.056_Pos_1_R_1000_PVC_800_Druck</t>
  </si>
  <si>
    <t>0.263_0.167_Pos_1_R_1000_PVC_800_Druck</t>
  </si>
  <si>
    <t>0.263_0.25_Pos_1_R_1000_PVC_800_Druck</t>
  </si>
  <si>
    <t>Kalibrierung_2_Pos_1_27.03.2026</t>
  </si>
  <si>
    <t>0.07_0.111_Pos_1_Q_1000_Glas_600_Druck</t>
  </si>
  <si>
    <t>0.134_0.167_Pos_1_Q_1000_Glas_600_Druck</t>
  </si>
  <si>
    <t>0.198_0.056_Pos_1_Q_1000_Glas_600_Druck</t>
  </si>
  <si>
    <t>0.198_0.167_Pos_1_Q_1000_Glas_600_Druck</t>
  </si>
  <si>
    <t>0.198_0.25_Pos_1_Q_1000_Glas_600_Druck</t>
  </si>
  <si>
    <t>0.263_0.056_Pos_1_Q_1000_Glas_600_Druck</t>
  </si>
  <si>
    <t>0.263_0.167_Pos_1_Q_1000_Glas_600_Druck</t>
  </si>
  <si>
    <t>0.263_0.25_Pos_1_Q_1000_Glas_600_Druck</t>
  </si>
  <si>
    <t>Kalibrierung_3_Pos_1_27.03.2026</t>
  </si>
  <si>
    <t>0.07_0.111_Pos_1_R_1500_PVC_1150_Druck</t>
  </si>
  <si>
    <t>0.134_0.167_Pos_1_R_1500_PVC_1150_Druck</t>
  </si>
  <si>
    <t>0.198_0.056_Pos_1_R_1500_PVC_1150_Druck</t>
  </si>
  <si>
    <t>0.198_0.111_Pos_1_R_1500_PVC_1150_Druck</t>
  </si>
  <si>
    <t>0.198_0.167_Pos_1_R_1500_PVC_1150_Druck</t>
  </si>
  <si>
    <t>0.263_0.056_Pos_1_R_1500_PVC_1150_Druck</t>
  </si>
  <si>
    <t>0.263_0.111_Pos_1_R_1500_PVC_1150_Druck</t>
  </si>
  <si>
    <t>0.263_0.167_Pos_1_R_1500_PVC_1150_Druck</t>
  </si>
  <si>
    <t>Kalibrierung_1_Pos_3_24.03.26</t>
  </si>
  <si>
    <t>0.122_0.111_Pos_3_R_1000_PVC_600_Druck</t>
  </si>
  <si>
    <t>0.186_0.056_Pos_3_R_1000_PVC_600_Druck</t>
  </si>
  <si>
    <t>0.186_0.25_Pos_3_R_1000_PVC_600_Druck</t>
  </si>
  <si>
    <t>0.251_0.056_Pos_3_R_1000_PVC_600_Druck</t>
  </si>
  <si>
    <t>0.251_0.25_Pos_3_R_1000_PVC_600_Druck</t>
  </si>
  <si>
    <t>Kalibrierung_2_Pos_3_27.03.2026</t>
  </si>
  <si>
    <t>0.07_0.111_Pos_3_R_1000_PVC_800_Druck</t>
  </si>
  <si>
    <t>0.134_0.167_Pos_3_R_1000_PVC_800_Druck</t>
  </si>
  <si>
    <t>0.198_0.056_Pos_3_R_1000_PVC_800_Druck</t>
  </si>
  <si>
    <t>0.198_0.167_Pos_3_R_1000_PVC_800_Druck</t>
  </si>
  <si>
    <t>0.198_0.25_Pos_3_R_1000_PVC_800_Druck</t>
  </si>
  <si>
    <t>0.263_0.056_Pos_3_R_1000_PVC_800_Druck</t>
  </si>
  <si>
    <t>0.263_0.167_Pos_3_R_1000_PVC_800_Druck</t>
  </si>
  <si>
    <t>0.263_0.25_Pos_3_R_1000_PVC_800_Druck</t>
  </si>
  <si>
    <t>Kalibrierung_3_Pos_3_27.03.2026</t>
  </si>
  <si>
    <t>0.07_0.111_Pos_3_Q_1000_Glas_600_Druck</t>
  </si>
  <si>
    <t>0.134_0.167_Pos_3_Q_1000_Glas_600_Druck</t>
  </si>
  <si>
    <t>0.198_0.056_Pos_3_Q_1000_Glas_600_Druck</t>
  </si>
  <si>
    <t>0.198_0.167_Pos_3_Q_1000_Glas_600_Druck</t>
  </si>
  <si>
    <t>0.198_0.25_Pos_3_Q_1000_Glas_600_Druck</t>
  </si>
  <si>
    <t>0.263_0.056_Pos_3_Q_1000_Glas_600_Druck</t>
  </si>
  <si>
    <t>0.263_0.167_Pos_3_Q_1000_Glas_600_Druck</t>
  </si>
  <si>
    <t>0.263_0.25_Pos_3_Q_1000_Glas_600_Druck</t>
  </si>
  <si>
    <t>Problem mit zu hohem Druck</t>
  </si>
  <si>
    <t>Kalibrierung_1_Pos_3_27.03.2026</t>
  </si>
  <si>
    <t>0.07_0.111_Pos_3_R_1500_PVC_1150_Druck</t>
  </si>
  <si>
    <t>0.134_0.167_Pos_3_R_1500_PVC_1150_Druck</t>
  </si>
  <si>
    <t>0.198_0.056_Pos_3_R_1500_PVC_1150_Druck</t>
  </si>
  <si>
    <t>0.198_0.111_Pos_3_R_1500_PVC_1150_Druck</t>
  </si>
  <si>
    <t>0.198_0.167_Pos_3_R_1500_PVC_1150_Druck</t>
  </si>
  <si>
    <t>0.263_0.056_Pos_3_R_1500_PVC_1150_Druck</t>
  </si>
  <si>
    <t>0.263_0.111_Pos_3_R_1500_PVC_1150_Druck</t>
  </si>
  <si>
    <t>0.263_0.167_Pos_3_R_1500_PVC_1150_Druck</t>
  </si>
  <si>
    <t>0.07_0.056_Pos_1_R_500_PVC_400</t>
  </si>
  <si>
    <t>0.07_0.111_Pos_1_R_500_PVC_400</t>
  </si>
  <si>
    <t>0.134_0.056_Pos_1_R_500_PVC_400</t>
  </si>
  <si>
    <t>0.134_0.111_Pos_1_R_500_PVC_400</t>
  </si>
  <si>
    <t>0.134_0.167_Pos_1_R_500_PVC_400</t>
  </si>
  <si>
    <t>0.134_0.25_Pos_1_R_500_PVC_400</t>
  </si>
  <si>
    <t>0.198_0.056_Pos_1_R_500_PVC_400</t>
  </si>
  <si>
    <t>0.198_0.111_Pos_1_R_500_PVC_400</t>
  </si>
  <si>
    <t>0.198_0.167_Pos_1_R_500_PVC_400</t>
  </si>
  <si>
    <t>0.198_0.25_Pos_1_R_500_PVC_400</t>
  </si>
  <si>
    <t>0.263_0.056_Pos_1_R_500_PVC_400</t>
  </si>
  <si>
    <t>0.263_0.111_Pos_1_R_500_PVC_400</t>
  </si>
  <si>
    <t>0.263_0.167_Pos_1_R_500_PVC_400</t>
  </si>
  <si>
    <t>0.263_0.25_Pos_1_R_500_PVC_400</t>
  </si>
  <si>
    <t>0.07_0.056_Pos_2_R_500_PVC_400</t>
  </si>
  <si>
    <t>0.07_0.111_Pos_2_R_500_PVC_400</t>
  </si>
  <si>
    <t>0.134_0.056_Pos_2_R_500_PVC_400</t>
  </si>
  <si>
    <t>0.134_0.111_Pos_2_R_500_PVC_400</t>
  </si>
  <si>
    <t>0.134_0.167_Pos_2_R_500_PVC_400</t>
  </si>
  <si>
    <t>0.134_0.25_Pos_2_R_500_PVC_400</t>
  </si>
  <si>
    <t>0.198_0.056_Pos_2_R_500_PVC_400</t>
  </si>
  <si>
    <t>0.198_0.111_Pos_2_R_500_PVC_400</t>
  </si>
  <si>
    <t>0.198_0.167_Pos_2_R_500_PVC_400</t>
  </si>
  <si>
    <t>0.198_0.25_Pos_2_R_500_PVC_400</t>
  </si>
  <si>
    <t>0.263_0.056_Pos_2_R_500_PVC_400</t>
  </si>
  <si>
    <t>0.263_0.111_Pos_2_R_500_PVC_400</t>
  </si>
  <si>
    <t>0.263_0.167_Pos_2_R_500_PVC_400</t>
  </si>
  <si>
    <t>0.263_0.25_Pos_2_R_500_PVC_400</t>
  </si>
  <si>
    <t>0.07_0.056_Pos_3_R_500_PVC_400</t>
  </si>
  <si>
    <t>0.07_0.111_Pos_3_R_500_PVC_400</t>
  </si>
  <si>
    <t>0.134_0.056_Pos_3_R_500_PVC_400</t>
  </si>
  <si>
    <t>0.134_0.111_Pos_3_R_500_PVC_400</t>
  </si>
  <si>
    <t>0.134_0.167_Pos_3_R_500_PVC_400</t>
  </si>
  <si>
    <t>0.134_0.25_Pos_3_R_500_PVC_400</t>
  </si>
  <si>
    <t>0.198_0.056_Pos_3_R_500_PVC_400</t>
  </si>
  <si>
    <t>0.198_0.111_Pos_3_R_500_PVC_400</t>
  </si>
  <si>
    <t>0.198_0.167_Pos_3_R_500_PVC_400</t>
  </si>
  <si>
    <t>0.198_0.25_Pos_3_R_500_PVC_400</t>
  </si>
  <si>
    <t>0.263_0.056_Pos_3_R_500_PVC_400</t>
  </si>
  <si>
    <t>0.263_0.111_Pos_3_R_500_PVC_400</t>
  </si>
  <si>
    <t>0.263_0.167_Pos_3_R_500_PVC_400</t>
  </si>
  <si>
    <t>0.263_0.25_Pos_3_R_500_PVC_400</t>
  </si>
  <si>
    <t>Taylor-Blasen gehen über in Blasen mit Flacher Endkappe</t>
  </si>
  <si>
    <t>Kalibrierung_2_Pos_1_26.03.2026</t>
  </si>
  <si>
    <t>0.07_0.056_Pos_1_R_1500_PVC_1150</t>
  </si>
  <si>
    <t>0.07_0.111_Pos_1_R_1500_PVC_1150</t>
  </si>
  <si>
    <t>0.134_0.056_Pos_1_R_1500_PVC_1150</t>
  </si>
  <si>
    <t>0.134_0.111_Pos_1_R_1500_PVC_1150</t>
  </si>
  <si>
    <t>0.134_0.167_Pos_1_R_1500_PVC_1150</t>
  </si>
  <si>
    <t>nicht messbar Druckmax. Pumpe</t>
  </si>
  <si>
    <t>0.134_0.25_Pos_1_R_1500_PVC_1150</t>
  </si>
  <si>
    <t>Taylorflow, Gasvolumenstrom schwankt 17.5 - 18.5</t>
  </si>
  <si>
    <t>0.198_0.056_Pos_1_R_1500_PVC_1150</t>
  </si>
  <si>
    <t>0.198_0.111_Pos_1_R_1500_PVC_1150</t>
  </si>
  <si>
    <t>0.198_0.167_Pos_1_R_1500_PVC_1150</t>
  </si>
  <si>
    <t>0.198_0.25_Pos_1_R_1500_PVC_1150</t>
  </si>
  <si>
    <t>0.263_0.056_Pos_1_R_1500_PVC_1150</t>
  </si>
  <si>
    <t>0.263_0.111_Pos_1_R_1500_PVC_1150</t>
  </si>
  <si>
    <t>0.263_0.167_Pos_1_R_1500_PVC_1150</t>
  </si>
  <si>
    <t>0.263_0.25_Pos_1_R_1500_PVC_1150</t>
  </si>
  <si>
    <t>Blasen mit Flacher Endkappe</t>
  </si>
  <si>
    <t>Kalibrierung_1_Pos_2_26.03.2026</t>
  </si>
  <si>
    <t>0.07_0.056_Pos_2_R_1500_PVC_1150</t>
  </si>
  <si>
    <t>0.07_0.111_Pos_2_R_1500_PVC_1150</t>
  </si>
  <si>
    <t>0.134_0.056_Pos_2_R_1500_PVC_1150</t>
  </si>
  <si>
    <t>0.134_0.111_Pos_2_R_1500_PVC_1150</t>
  </si>
  <si>
    <t>0.134_0.167_Pos_2_R_1500_PVC_1150</t>
  </si>
  <si>
    <t>0.134_0.25_Pos_2_R_1500_PVC_1150</t>
  </si>
  <si>
    <t>0.198_0.056_Pos_2_R_1500_PVC_1150</t>
  </si>
  <si>
    <t>0.198_0.111_Pos_2_R_1500_PVC_1150</t>
  </si>
  <si>
    <t>0.198_0.167_Pos_2_R_1500_PVC_1150</t>
  </si>
  <si>
    <t>0.198_0.25_Pos_2_R_1500_PVC_1150</t>
  </si>
  <si>
    <t>0.263_0.056_Pos_2_R_1500_PVC_1150</t>
  </si>
  <si>
    <t>0.263_0.111_Pos_2_R_1500_PVC_1150</t>
  </si>
  <si>
    <t>0.263_0.167_Pos_2_R_1500_PVC_1150</t>
  </si>
  <si>
    <t>0.263_0.25_Pos_2_R_1500_PVC_1150</t>
  </si>
  <si>
    <t>Kalibrierung_2_Pos_3_26.03.2026</t>
  </si>
  <si>
    <t>0.07_0.056_Pos_3_R_1500_PVC_1150</t>
  </si>
  <si>
    <t>0.07_0.111_Pos_3_R_1500_PVC_1150</t>
  </si>
  <si>
    <t>0.134_0.056_Pos_3_R_1500_PVC_1150</t>
  </si>
  <si>
    <t>0.134_0.111_Pos_3_R_1500_PVC_1150</t>
  </si>
  <si>
    <t>0.134_0.167_Pos_3_R_1500_PVC_1150</t>
  </si>
  <si>
    <t>0.134_0.25_Pos_3_R_1500_PVC_1150</t>
  </si>
  <si>
    <t>0.198_0.056_Pos_3_R_1500_PVC_1150</t>
  </si>
  <si>
    <t>0.198_0.111_Pos_3_R_1500_PVC_1150</t>
  </si>
  <si>
    <t>0.198_0.167_Pos_3_R_1500_PVC_1150</t>
  </si>
  <si>
    <t>0.198_0.25_Pos_3_R_1500_PVC_1150</t>
  </si>
  <si>
    <t>0.263_0.056_Pos_3_R_1500_PVC_1150</t>
  </si>
  <si>
    <t>0.263_0.111_Pos_3_R_1500_PVC_1150</t>
  </si>
  <si>
    <t>0.263_0.167_Pos_3_R_1500_PVC_1150</t>
  </si>
  <si>
    <t>0.263_0.25_Pos_3_R_1500_PVC_1150</t>
  </si>
  <si>
    <t>Kalibrierung_1_Pos_1_02.04.2026</t>
  </si>
  <si>
    <t>0.07_0.111_Pos_1_Q_1000_Glas_600_Druck_2</t>
  </si>
  <si>
    <t>0.134_0.167_Pos_1_Q_1000_Glas_600_Druck_2</t>
  </si>
  <si>
    <t>0.198_0.056_Pos_1_Q_1000_Glas_600_Druck_2</t>
  </si>
  <si>
    <t>0.198_0.167_Pos_1_Q_1000_Glas_600_Druck_2</t>
  </si>
  <si>
    <t>0.198_0.25_Pos_1_Q_1000_Glas_600_Druck_2</t>
  </si>
  <si>
    <t>0.263_0.056_Pos_1_Q_1000_Glas_600_Druck_2</t>
  </si>
  <si>
    <t>0.263_0.167_Pos_1_Q_1000_Glas_600_Druck_2</t>
  </si>
  <si>
    <t>0.263_0.25_Pos_1_Q_1000_Glas_600_Druck_2</t>
  </si>
  <si>
    <t>Kalibrierung_1_Pos_3_02.04.2026</t>
  </si>
  <si>
    <t>0.07_0.111_Pos_3_Q_1000_Glas_600_Druck_2</t>
  </si>
  <si>
    <t>0.134_0.167_Pos_3_Q_1000_Glas_600_Druck_2</t>
  </si>
  <si>
    <t>0.198_0.056_Pos_3_Q_1000_Glas_600_Druck_2</t>
  </si>
  <si>
    <t>0.198_0.167_Pos_3_Q_1000_Glas_600_Druck_2</t>
  </si>
  <si>
    <t>0.198_0.25_Pos_3_Q_1000_Glas_600_Druck_2</t>
  </si>
  <si>
    <t>0.263_0.056_Pos_3_Q_1000_Glas_600_Druck_2</t>
  </si>
  <si>
    <t>0.263_0.167_Pos_3_Q_1000_Glas_600_Druck_2</t>
  </si>
  <si>
    <t>0.263_0.25_Pos_3_Q_1000_Glas_600_Druck_2</t>
  </si>
  <si>
    <t>Kalibrierung_1_Pos_1_08.04.2026</t>
  </si>
  <si>
    <t>0.07_0.056_Pos_1_R_1000_PTFE_600</t>
  </si>
  <si>
    <t>PTFE</t>
  </si>
  <si>
    <t>0.07_0.111_Pos_1_R_1000_PTFE_600</t>
  </si>
  <si>
    <t>0.134_0.056_Pos_1_R_1000_PTFE_600</t>
  </si>
  <si>
    <t>0.134_0.111_Pos_1_R_1000_PTFE_600</t>
  </si>
  <si>
    <t>0.134_0.167_Pos_1_R_1000_PTFE_600</t>
  </si>
  <si>
    <t>0.134_0.25_Pos_1_R_1000_PTFE_600</t>
  </si>
  <si>
    <t>0.198_0.056_Pos_1_R_1000_PTFE_600</t>
  </si>
  <si>
    <t>0.198_0.111_Pos_1_R_1000_PTFE_600</t>
  </si>
  <si>
    <t>0.198_0.167_Pos_1_R_1000_PTFE_600</t>
  </si>
  <si>
    <t>0.198_0.25_Pos_1_R_1000_PTFE_600</t>
  </si>
  <si>
    <t>0.263_0.056_Pos_1_R_1000_PTFE_600</t>
  </si>
  <si>
    <t>0.263_0.111_Pos_1_R_1000_PTFE_600</t>
  </si>
  <si>
    <t>0.263_0.167_Pos_1_R_1000_PTFE_600</t>
  </si>
  <si>
    <t>0.263_0.25_Pos_1_R_1000_PTFE_600</t>
  </si>
  <si>
    <t>Kalibrierung_1_Pos_2_08.04.2026</t>
  </si>
  <si>
    <t>0.07_0.056_Pos_2_R_1000_PTFE_600</t>
  </si>
  <si>
    <t>0.07_0.111_Pos_2_R_1000_PTFE_600</t>
  </si>
  <si>
    <t>0.134_0.056_Pos_2_R_1000_PTFE_600</t>
  </si>
  <si>
    <t>0.134_0.111_Pos_2_R_1000_PTFE_600</t>
  </si>
  <si>
    <t>0.134_0.167_Pos_2_R_1000_PTFE_600</t>
  </si>
  <si>
    <t>0.134_0.25_Pos_2_R_1000_PTFE_600</t>
  </si>
  <si>
    <t>0.198_0.056_Pos_2_R_1000_PTFE_600</t>
  </si>
  <si>
    <t>0.198_0.111_Pos_2_R_1000_PTFE_600</t>
  </si>
  <si>
    <t>0.198_0.167_Pos_2_R_1000_PTFE_600</t>
  </si>
  <si>
    <t>0.198_0.25_Pos_2_R_1000_PTFE_600</t>
  </si>
  <si>
    <t>0.263_0.056_Pos_2_R_1000_PTFE_600</t>
  </si>
  <si>
    <t>0.263_0.111_Pos_2_R_1000_PTFE_600</t>
  </si>
  <si>
    <t>0.263_0.167_Pos_2_R_1000_PTFE_600</t>
  </si>
  <si>
    <t>0.263_0.25_Pos_2_R_1000_PTFE_600</t>
  </si>
  <si>
    <t>Kalibrierung_1_Pos_3_08.04.2026</t>
  </si>
  <si>
    <t>0.07_0.056_Pos_3_R_1000_PTFE_600</t>
  </si>
  <si>
    <t>0.07_0.111_Pos_3_R_1000_PTFE_600</t>
  </si>
  <si>
    <t>0.134_0.056_Pos_3_R_1000_PTFE_600</t>
  </si>
  <si>
    <t>0.134_0.111_Pos_3_R_1000_PTFE_600</t>
  </si>
  <si>
    <t>0.134_0.167_Pos_3_R_1000_PTFE_600</t>
  </si>
  <si>
    <t>0.134_0.25_Pos_3_R_1000_PTFE_600</t>
  </si>
  <si>
    <t>0.198_0.056_Pos_3_R_1000_PTFE_600</t>
  </si>
  <si>
    <t>0.198_0.111_Pos_3_R_1000_PTFE_600</t>
  </si>
  <si>
    <t>0.198_0.167_Pos_3_R_1000_PTFE_600</t>
  </si>
  <si>
    <t>0.198_0.25_Pos_3_R_1000_PTFE_600</t>
  </si>
  <si>
    <t>0.263_0.056_Pos_3_R_1000_PTFE_600</t>
  </si>
  <si>
    <t>0.263_0.111_Pos_3_R_1000_PTFE_600</t>
  </si>
  <si>
    <t>0.263_0.167_Pos_3_R_1000_PTFE_600</t>
  </si>
  <si>
    <t>0.263_0.25_Pos_3_R_1000_PTFE_600</t>
  </si>
  <si>
    <t>Messungen Michelle</t>
  </si>
  <si>
    <t>Annahme:</t>
  </si>
  <si>
    <t>Werte wurden bei 26 °C und 101325 Pa gemessen</t>
  </si>
  <si>
    <t>T =</t>
  </si>
  <si>
    <t xml:space="preserve">p = </t>
  </si>
  <si>
    <t>Bedingungen</t>
  </si>
  <si>
    <t>Eingestellter Volumenstrom (Michelle)</t>
  </si>
  <si>
    <t>Realer Durchfluss</t>
  </si>
  <si>
    <t>Einzustellender Durchfluss</t>
  </si>
  <si>
    <t>Eingestellter Durchfluss</t>
  </si>
  <si>
    <t>Vor Absorption</t>
  </si>
  <si>
    <t>Nach Absorption</t>
  </si>
  <si>
    <t>Kanallänge
[m]</t>
  </si>
  <si>
    <t>Vor den Messungen</t>
  </si>
  <si>
    <t>Nach den Messungen</t>
  </si>
  <si>
    <t>Durchfluss gesamt</t>
  </si>
  <si>
    <t>Durchfluss pro Kanal</t>
  </si>
  <si>
    <t xml:space="preserve">CO2 Anteil </t>
  </si>
  <si>
    <t>Pulse je Liter</t>
  </si>
  <si>
    <t>Sekunden 
pro Puls</t>
  </si>
  <si>
    <t>Trommelgaszähler</t>
  </si>
  <si>
    <t>Flüssigkeitsstrom
[nL/h]</t>
  </si>
  <si>
    <t>Druckdifferenz [Pa]</t>
  </si>
  <si>
    <t>CO2 Anteil
gemessen
[Vol %]</t>
  </si>
  <si>
    <t>Durchfluss erwartet</t>
  </si>
  <si>
    <t>erwartet</t>
  </si>
  <si>
    <t>vor den Messungen</t>
  </si>
  <si>
    <t>nach den Messungen</t>
  </si>
  <si>
    <t>Temperatur
[°C]</t>
  </si>
  <si>
    <t>Druck
[Pa]</t>
  </si>
  <si>
    <t>Luft
[nL/h]</t>
  </si>
  <si>
    <t>CO2 
[nL/h]</t>
  </si>
  <si>
    <t>[nL/h]</t>
  </si>
  <si>
    <t>[ml/min]</t>
  </si>
  <si>
    <t>[m/s]</t>
  </si>
  <si>
    <t>[Vol %]</t>
  </si>
  <si>
    <t>direkt
[Vol %]</t>
  </si>
  <si>
    <t>über die Kolonne
[Vol %]</t>
  </si>
  <si>
    <t>erwartet
[s]</t>
  </si>
  <si>
    <t>Pulse</t>
  </si>
  <si>
    <t>vor den Messungen
[s]</t>
  </si>
  <si>
    <t>nach den Messungen
[s]</t>
  </si>
  <si>
    <t>CO2
[nL/h]</t>
  </si>
  <si>
    <t>gesamt
[nL/h]</t>
  </si>
  <si>
    <t>gemessen
[s]</t>
  </si>
  <si>
    <t>-</t>
  </si>
  <si>
    <t>Befüllung Druckflasche Einzelkanal</t>
  </si>
  <si>
    <t>Erwarteter CO2 Anteil 
[Vol 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</si>
</sst>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dd/mm/yy"/>
    <numFmt numFmtId="168" formatCode="0.00000"/>
  </numFmts>
  <fonts count="5" x14ac:knownFonts="1">
    <font>
      <sz val="11"/>
      <color theme="1"/>
      <name val="Calibri"/>
      <family val="2"/>
      <charset val="1"/>
    </font>
    <font>
      <sz val="11"/>
      <color theme="0"/>
      <name val="Arial"/>
      <family val="2"/>
      <charset val="1"/>
    </font>
    <font>
      <sz val="11"/>
      <color rgb="FFFF000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59987182226020086"/>
        <bgColor rgb="FFD9D9D9"/>
      </patternFill>
    </fill>
    <fill>
      <patternFill patternType="solid">
        <fgColor rgb="FF92D05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00B0F0"/>
        <bgColor rgb="FF33CCCC"/>
      </patternFill>
    </fill>
    <fill>
      <patternFill patternType="solid">
        <fgColor theme="8" tint="-0.249977111117893"/>
        <bgColor rgb="FF4472C4"/>
      </patternFill>
    </fill>
    <fill>
      <patternFill patternType="solid">
        <fgColor theme="8"/>
        <bgColor rgb="FF2F5597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9" tint="0.79979857783745845"/>
        <bgColor rgb="FFF2F2F2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166" fontId="0" fillId="10" borderId="27" xfId="0" applyNumberFormat="1" applyFill="1" applyBorder="1" applyAlignment="1" applyProtection="1">
      <alignment horizontal="center" vertical="center"/>
    </xf>
    <xf numFmtId="2" fontId="0" fillId="0" borderId="27" xfId="0" applyNumberFormat="1" applyBorder="1" applyAlignment="1" applyProtection="1">
      <alignment horizontal="center" vertical="center"/>
    </xf>
    <xf numFmtId="0" fontId="0" fillId="0" borderId="27" xfId="0" applyFont="1" applyBorder="1" applyAlignment="1" applyProtection="1">
      <alignment horizontal="center" vertical="center"/>
    </xf>
    <xf numFmtId="0" fontId="0" fillId="10" borderId="27" xfId="0" applyFill="1" applyBorder="1" applyAlignment="1" applyProtection="1">
      <alignment horizontal="center" vertical="center"/>
    </xf>
    <xf numFmtId="0" fontId="0" fillId="0" borderId="20" xfId="0" applyBorder="1" applyAlignment="1" applyProtection="1">
      <alignment horizontal="center" vertical="center"/>
    </xf>
    <xf numFmtId="0" fontId="4" fillId="9" borderId="26" xfId="0" applyFont="1" applyFill="1" applyBorder="1" applyAlignment="1" applyProtection="1">
      <alignment horizontal="center" vertical="center" wrapText="1"/>
    </xf>
    <xf numFmtId="0" fontId="4" fillId="9" borderId="25" xfId="0" applyFont="1" applyFill="1" applyBorder="1" applyAlignment="1" applyProtection="1">
      <alignment horizontal="center" vertical="center" wrapText="1"/>
    </xf>
    <xf numFmtId="0" fontId="4" fillId="9" borderId="25" xfId="0" applyFont="1" applyFill="1" applyBorder="1" applyAlignment="1" applyProtection="1">
      <alignment horizontal="center" vertical="center"/>
    </xf>
    <xf numFmtId="0" fontId="4" fillId="9" borderId="24" xfId="0" applyFont="1" applyFill="1" applyBorder="1" applyAlignment="1" applyProtection="1">
      <alignment horizontal="center" vertical="center" wrapText="1"/>
    </xf>
    <xf numFmtId="0" fontId="4" fillId="9" borderId="19" xfId="0" applyFont="1" applyFill="1" applyBorder="1" applyAlignment="1" applyProtection="1">
      <alignment horizontal="center" vertical="center"/>
    </xf>
    <xf numFmtId="0" fontId="4" fillId="9" borderId="23" xfId="0" applyFont="1" applyFill="1" applyBorder="1" applyAlignment="1" applyProtection="1">
      <alignment horizontal="center" vertical="center"/>
    </xf>
    <xf numFmtId="0" fontId="4" fillId="9" borderId="23" xfId="0" applyFont="1" applyFill="1" applyBorder="1" applyAlignment="1" applyProtection="1">
      <alignment horizontal="center" vertical="center" wrapText="1"/>
    </xf>
    <xf numFmtId="0" fontId="4" fillId="9" borderId="22" xfId="0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Alignment="1" applyProtection="1"/>
    <xf numFmtId="0" fontId="0" fillId="0" borderId="0" xfId="0" applyFont="1" applyAlignment="1" applyProtection="1"/>
    <xf numFmtId="2" fontId="0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/>
    <xf numFmtId="0" fontId="0" fillId="2" borderId="0" xfId="0" applyFont="1" applyFill="1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0" fontId="0" fillId="3" borderId="0" xfId="0" applyFont="1" applyFill="1"/>
    <xf numFmtId="0" fontId="0" fillId="4" borderId="0" xfId="0" applyFont="1" applyFill="1"/>
    <xf numFmtId="0" fontId="0" fillId="5" borderId="0" xfId="0" applyFont="1" applyFill="1"/>
    <xf numFmtId="0" fontId="0" fillId="6" borderId="0" xfId="0" applyFont="1" applyFill="1"/>
    <xf numFmtId="0" fontId="1" fillId="7" borderId="0" xfId="0" applyFont="1" applyFill="1"/>
    <xf numFmtId="0" fontId="1" fillId="8" borderId="0" xfId="0" applyFont="1" applyFill="1"/>
    <xf numFmtId="164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2" borderId="0" xfId="0" applyFont="1" applyFill="1"/>
    <xf numFmtId="165" fontId="0" fillId="0" borderId="0" xfId="0" applyNumberFormat="1"/>
    <xf numFmtId="0" fontId="0" fillId="0" borderId="1" xfId="0" applyFont="1" applyBorder="1"/>
    <xf numFmtId="20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Font="1" applyBorder="1"/>
    <xf numFmtId="20" fontId="0" fillId="0" borderId="4" xfId="0" applyNumberFormat="1" applyBorder="1"/>
    <xf numFmtId="2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0" fontId="0" fillId="0" borderId="0" xfId="0" applyBorder="1"/>
    <xf numFmtId="166" fontId="0" fillId="0" borderId="0" xfId="0" applyNumberFormat="1"/>
    <xf numFmtId="1" fontId="0" fillId="0" borderId="0" xfId="0" applyNumberFormat="1"/>
    <xf numFmtId="0" fontId="0" fillId="3" borderId="6" xfId="0" applyFill="1" applyBorder="1"/>
    <xf numFmtId="0" fontId="0" fillId="0" borderId="7" xfId="0" applyFont="1" applyBorder="1"/>
    <xf numFmtId="20" fontId="0" fillId="0" borderId="7" xfId="0" applyNumberFormat="1" applyBorder="1"/>
    <xf numFmtId="2" fontId="0" fillId="0" borderId="7" xfId="0" applyNumberFormat="1" applyBorder="1"/>
    <xf numFmtId="164" fontId="0" fillId="0" borderId="7" xfId="0" applyNumberFormat="1" applyBorder="1"/>
    <xf numFmtId="0" fontId="0" fillId="0" borderId="8" xfId="0" applyBorder="1"/>
    <xf numFmtId="0" fontId="0" fillId="3" borderId="9" xfId="0" applyFill="1" applyBorder="1"/>
    <xf numFmtId="0" fontId="0" fillId="0" borderId="10" xfId="0" applyBorder="1"/>
    <xf numFmtId="0" fontId="0" fillId="3" borderId="11" xfId="0" applyFill="1" applyBorder="1"/>
    <xf numFmtId="0" fontId="0" fillId="0" borderId="12" xfId="0" applyBorder="1"/>
    <xf numFmtId="0" fontId="0" fillId="3" borderId="13" xfId="0" applyFill="1" applyBorder="1"/>
    <xf numFmtId="14" fontId="0" fillId="0" borderId="1" xfId="0" applyNumberFormat="1" applyBorder="1"/>
    <xf numFmtId="0" fontId="0" fillId="0" borderId="14" xfId="0" applyBorder="1"/>
    <xf numFmtId="14" fontId="0" fillId="0" borderId="4" xfId="0" applyNumberFormat="1" applyBorder="1"/>
    <xf numFmtId="0" fontId="0" fillId="3" borderId="15" xfId="0" applyFill="1" applyBorder="1"/>
    <xf numFmtId="0" fontId="0" fillId="0" borderId="16" xfId="0" applyBorder="1"/>
    <xf numFmtId="14" fontId="0" fillId="0" borderId="16" xfId="0" applyNumberFormat="1" applyBorder="1"/>
    <xf numFmtId="20" fontId="0" fillId="0" borderId="16" xfId="0" applyNumberFormat="1" applyBorder="1"/>
    <xf numFmtId="2" fontId="0" fillId="0" borderId="16" xfId="0" applyNumberFormat="1" applyBorder="1"/>
    <xf numFmtId="164" fontId="0" fillId="0" borderId="16" xfId="0" applyNumberFormat="1" applyBorder="1"/>
    <xf numFmtId="0" fontId="0" fillId="0" borderId="17" xfId="0" applyBorder="1"/>
    <xf numFmtId="0" fontId="2" fillId="3" borderId="9" xfId="0" applyFont="1" applyFill="1" applyBorder="1"/>
    <xf numFmtId="0" fontId="0" fillId="0" borderId="0" xfId="0"/>
    <xf numFmtId="20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0" fontId="3" fillId="0" borderId="0" xfId="0" applyFont="1" applyAlignment="1" applyProtection="1"/>
    <xf numFmtId="0" fontId="3" fillId="0" borderId="18" xfId="0" applyFont="1" applyBorder="1" applyAlignment="1" applyProtection="1"/>
    <xf numFmtId="0" fontId="3" fillId="0" borderId="19" xfId="0" applyFont="1" applyBorder="1" applyAlignment="1" applyProtection="1"/>
    <xf numFmtId="0" fontId="3" fillId="0" borderId="20" xfId="0" applyFont="1" applyBorder="1" applyAlignment="1" applyProtection="1"/>
    <xf numFmtId="0" fontId="3" fillId="0" borderId="21" xfId="0" applyFont="1" applyBorder="1" applyAlignment="1" applyProtection="1"/>
    <xf numFmtId="0" fontId="0" fillId="0" borderId="0" xfId="0" applyAlignment="1" applyProtection="1">
      <alignment horizontal="center" vertical="center"/>
    </xf>
    <xf numFmtId="0" fontId="4" fillId="9" borderId="24" xfId="0" applyFont="1" applyFill="1" applyBorder="1" applyAlignment="1" applyProtection="1">
      <alignment horizontal="center" vertical="center" wrapText="1"/>
    </xf>
    <xf numFmtId="0" fontId="4" fillId="9" borderId="25" xfId="0" applyFont="1" applyFill="1" applyBorder="1" applyAlignment="1" applyProtection="1">
      <alignment horizontal="center" vertical="center"/>
    </xf>
    <xf numFmtId="0" fontId="4" fillId="9" borderId="25" xfId="0" applyFont="1" applyFill="1" applyBorder="1" applyAlignment="1" applyProtection="1">
      <alignment horizontal="center" vertical="center" wrapText="1"/>
    </xf>
    <xf numFmtId="0" fontId="4" fillId="9" borderId="26" xfId="0" applyFont="1" applyFill="1" applyBorder="1" applyAlignment="1" applyProtection="1">
      <alignment horizontal="center" vertical="center" wrapText="1"/>
    </xf>
    <xf numFmtId="167" fontId="0" fillId="0" borderId="0" xfId="0" applyNumberFormat="1" applyAlignment="1" applyProtection="1"/>
    <xf numFmtId="0" fontId="0" fillId="10" borderId="27" xfId="0" applyFill="1" applyBorder="1" applyAlignment="1" applyProtection="1">
      <alignment horizontal="center" vertical="center"/>
    </xf>
    <xf numFmtId="2" fontId="0" fillId="0" borderId="27" xfId="0" applyNumberFormat="1" applyBorder="1" applyAlignment="1" applyProtection="1">
      <alignment horizontal="center" vertical="center"/>
    </xf>
    <xf numFmtId="0" fontId="0" fillId="0" borderId="25" xfId="0" applyBorder="1" applyAlignment="1" applyProtection="1">
      <alignment horizontal="center" vertical="center"/>
    </xf>
    <xf numFmtId="0" fontId="0" fillId="10" borderId="25" xfId="0" applyFill="1" applyBorder="1" applyAlignment="1" applyProtection="1">
      <alignment horizontal="center" vertical="center"/>
    </xf>
    <xf numFmtId="2" fontId="0" fillId="10" borderId="25" xfId="0" applyNumberFormat="1" applyFill="1" applyBorder="1" applyAlignment="1" applyProtection="1">
      <alignment horizontal="center" vertical="center"/>
    </xf>
    <xf numFmtId="2" fontId="0" fillId="0" borderId="25" xfId="0" applyNumberFormat="1" applyBorder="1" applyAlignment="1" applyProtection="1">
      <alignment horizontal="center" vertical="center"/>
    </xf>
    <xf numFmtId="0" fontId="0" fillId="10" borderId="26" xfId="0" applyFill="1" applyBorder="1" applyAlignment="1" applyProtection="1">
      <alignment horizontal="center" vertical="center"/>
    </xf>
    <xf numFmtId="0" fontId="0" fillId="0" borderId="27" xfId="0" applyBorder="1" applyAlignment="1" applyProtection="1">
      <alignment horizontal="center" vertical="center"/>
    </xf>
    <xf numFmtId="2" fontId="0" fillId="10" borderId="27" xfId="0" applyNumberFormat="1" applyFill="1" applyBorder="1" applyAlignment="1" applyProtection="1">
      <alignment horizontal="center" vertical="center"/>
    </xf>
    <xf numFmtId="0" fontId="0" fillId="10" borderId="21" xfId="0" applyFill="1" applyBorder="1" applyAlignment="1" applyProtection="1">
      <alignment horizontal="center" vertical="center"/>
    </xf>
    <xf numFmtId="0" fontId="0" fillId="0" borderId="29" xfId="0" applyBorder="1" applyAlignment="1" applyProtection="1">
      <alignment horizontal="center" vertical="center"/>
    </xf>
    <xf numFmtId="0" fontId="0" fillId="10" borderId="29" xfId="0" applyFill="1" applyBorder="1" applyAlignment="1" applyProtection="1">
      <alignment horizontal="center" vertical="center"/>
    </xf>
    <xf numFmtId="2" fontId="0" fillId="10" borderId="29" xfId="0" applyNumberFormat="1" applyFill="1" applyBorder="1" applyAlignment="1" applyProtection="1">
      <alignment horizontal="center" vertical="center"/>
    </xf>
    <xf numFmtId="2" fontId="0" fillId="0" borderId="29" xfId="0" applyNumberFormat="1" applyBorder="1" applyAlignment="1" applyProtection="1">
      <alignment horizontal="center" vertical="center"/>
    </xf>
    <xf numFmtId="0" fontId="0" fillId="10" borderId="30" xfId="0" applyFill="1" applyBorder="1" applyAlignment="1" applyProtection="1">
      <alignment horizontal="center" vertical="center"/>
    </xf>
    <xf numFmtId="0" fontId="4" fillId="9" borderId="19" xfId="0" applyFont="1" applyFill="1" applyBorder="1" applyAlignment="1" applyProtection="1">
      <alignment horizontal="center" vertical="center" wrapText="1"/>
    </xf>
    <xf numFmtId="0" fontId="4" fillId="9" borderId="26" xfId="0" applyFont="1" applyFill="1" applyBorder="1" applyAlignment="1" applyProtection="1">
      <alignment horizontal="center" vertical="center"/>
    </xf>
    <xf numFmtId="0" fontId="0" fillId="10" borderId="28" xfId="0" applyFill="1" applyBorder="1" applyAlignment="1" applyProtection="1">
      <alignment horizontal="center" vertical="center"/>
    </xf>
    <xf numFmtId="0" fontId="0" fillId="0" borderId="28" xfId="0" applyFon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28" xfId="0" applyNumberFormat="1" applyBorder="1" applyAlignment="1" applyProtection="1">
      <alignment horizontal="center" vertical="center"/>
    </xf>
    <xf numFmtId="166" fontId="0" fillId="10" borderId="28" xfId="0" applyNumberFormat="1" applyFill="1" applyBorder="1" applyAlignment="1" applyProtection="1">
      <alignment horizontal="center" vertical="center"/>
    </xf>
    <xf numFmtId="0" fontId="0" fillId="0" borderId="28" xfId="0" applyBorder="1" applyAlignment="1" applyProtection="1">
      <alignment horizontal="center" vertical="center"/>
    </xf>
    <xf numFmtId="0" fontId="4" fillId="9" borderId="18" xfId="0" applyFont="1" applyFill="1" applyBorder="1" applyAlignment="1" applyProtection="1">
      <alignment horizontal="center" vertical="center" wrapText="1"/>
    </xf>
    <xf numFmtId="2" fontId="0" fillId="0" borderId="20" xfId="0" applyNumberFormat="1" applyBorder="1" applyAlignment="1" applyProtection="1">
      <alignment horizontal="center" vertical="center"/>
    </xf>
    <xf numFmtId="168" fontId="0" fillId="0" borderId="27" xfId="0" applyNumberFormat="1" applyBorder="1" applyAlignment="1" applyProtection="1">
      <alignment horizontal="center" vertical="center"/>
    </xf>
    <xf numFmtId="2" fontId="0" fillId="0" borderId="21" xfId="0" applyNumberFormat="1" applyBorder="1" applyAlignment="1" applyProtection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DC3E6"/>
      <rgbColor rgb="FFFF99CC"/>
      <rgbColor rgb="FFCC99FF"/>
      <rgbColor rgb="FFD9D9D9"/>
      <rgbColor rgb="FF4472C4"/>
      <rgbColor rgb="FF33CCCC"/>
      <rgbColor rgb="FF92D050"/>
      <rgbColor rgb="FFFFC0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4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de-DE" sz="1400" b="0" strike="noStrike" spc="-1">
                <a:solidFill>
                  <a:srgbClr val="595959"/>
                </a:solidFill>
                <a:latin typeface="Calibri"/>
                <a:ea typeface="DejaVu Sans"/>
              </a:rPr>
              <a:t>Position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Einzelkanal!$AN$44</c:f>
              <c:strCache>
                <c:ptCount val="1"/>
                <c:pt idx="0">
                  <c:v>Taylorflow</c:v>
                </c:pt>
              </c:strCache>
            </c:strRef>
          </c:tx>
          <c:spPr>
            <a:ln w="19080">
              <a:noFill/>
            </a:ln>
          </c:spPr>
          <c:marker>
            <c:symbol val="square"/>
            <c:size val="8"/>
            <c:spPr>
              <a:solidFill>
                <a:srgbClr val="92D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Einzelkanal!$AN$45:$AN$61</c:f>
              <c:numCache>
                <c:formatCode>General</c:formatCode>
                <c:ptCount val="17"/>
                <c:pt idx="0">
                  <c:v>0.15</c:v>
                </c:pt>
                <c:pt idx="1">
                  <c:v>0.15</c:v>
                </c:pt>
                <c:pt idx="5">
                  <c:v>0.19</c:v>
                </c:pt>
                <c:pt idx="6">
                  <c:v>0.19</c:v>
                </c:pt>
                <c:pt idx="7">
                  <c:v>0.19</c:v>
                </c:pt>
                <c:pt idx="8">
                  <c:v>0.19</c:v>
                </c:pt>
                <c:pt idx="10">
                  <c:v>0.11</c:v>
                </c:pt>
                <c:pt idx="11">
                  <c:v>0.11</c:v>
                </c:pt>
                <c:pt idx="12">
                  <c:v>0.11</c:v>
                </c:pt>
                <c:pt idx="13">
                  <c:v>0.15</c:v>
                </c:pt>
                <c:pt idx="14">
                  <c:v>7.0000000000000007E-2</c:v>
                </c:pt>
                <c:pt idx="15">
                  <c:v>0.15</c:v>
                </c:pt>
                <c:pt idx="16">
                  <c:v>0.19</c:v>
                </c:pt>
              </c:numCache>
            </c:numRef>
          </c:xVal>
          <c:yVal>
            <c:numRef>
              <c:f>Einzelkanal!$AO$45:$AO$61</c:f>
              <c:numCache>
                <c:formatCode>General</c:formatCode>
                <c:ptCount val="17"/>
                <c:pt idx="0">
                  <c:v>0.06</c:v>
                </c:pt>
                <c:pt idx="1">
                  <c:v>0.02</c:v>
                </c:pt>
                <c:pt idx="5">
                  <c:v>0.1</c:v>
                </c:pt>
                <c:pt idx="6">
                  <c:v>0.06</c:v>
                </c:pt>
                <c:pt idx="7">
                  <c:v>0.04</c:v>
                </c:pt>
                <c:pt idx="8">
                  <c:v>0.02</c:v>
                </c:pt>
                <c:pt idx="10">
                  <c:v>0.06</c:v>
                </c:pt>
                <c:pt idx="11">
                  <c:v>0.04</c:v>
                </c:pt>
                <c:pt idx="12">
                  <c:v>0.02</c:v>
                </c:pt>
                <c:pt idx="13">
                  <c:v>0.08</c:v>
                </c:pt>
                <c:pt idx="14">
                  <c:v>0.04</c:v>
                </c:pt>
                <c:pt idx="15">
                  <c:v>0.04</c:v>
                </c:pt>
                <c:pt idx="16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65-4B63-9ABE-42C08028F992}"/>
            </c:ext>
          </c:extLst>
        </c:ser>
        <c:ser>
          <c:idx val="1"/>
          <c:order val="1"/>
          <c:tx>
            <c:strRef>
              <c:f>Einzelkanal!$AQ$44</c:f>
              <c:strCache>
                <c:ptCount val="1"/>
                <c:pt idx="0">
                  <c:v>Taylorflow der sich zu Blasenströmung entwickelt</c:v>
                </c:pt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9DC3E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Einzelkanal!$AQ$45:$AQ$52</c:f>
              <c:numCache>
                <c:formatCode>General</c:formatCode>
                <c:ptCount val="8"/>
                <c:pt idx="0">
                  <c:v>0.15</c:v>
                </c:pt>
                <c:pt idx="1">
                  <c:v>7.0000000000000007E-2</c:v>
                </c:pt>
                <c:pt idx="2">
                  <c:v>0.19</c:v>
                </c:pt>
                <c:pt idx="3">
                  <c:v>0.11</c:v>
                </c:pt>
                <c:pt idx="4">
                  <c:v>7.0000000000000007E-2</c:v>
                </c:pt>
                <c:pt idx="5">
                  <c:v>0.19</c:v>
                </c:pt>
                <c:pt idx="6">
                  <c:v>0.11</c:v>
                </c:pt>
                <c:pt idx="7">
                  <c:v>7.0000000000000007E-2</c:v>
                </c:pt>
              </c:numCache>
            </c:numRef>
          </c:xVal>
          <c:yVal>
            <c:numRef>
              <c:f>Einzelkanal!$AR$45:$AR$52</c:f>
              <c:numCache>
                <c:formatCode>General</c:formatCode>
                <c:ptCount val="8"/>
                <c:pt idx="0">
                  <c:v>0.1</c:v>
                </c:pt>
                <c:pt idx="1">
                  <c:v>0.1</c:v>
                </c:pt>
                <c:pt idx="2">
                  <c:v>0.17</c:v>
                </c:pt>
                <c:pt idx="3">
                  <c:v>0.1</c:v>
                </c:pt>
                <c:pt idx="4">
                  <c:v>0.08</c:v>
                </c:pt>
                <c:pt idx="5">
                  <c:v>0.15</c:v>
                </c:pt>
                <c:pt idx="6">
                  <c:v>0.08</c:v>
                </c:pt>
                <c:pt idx="7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65-4B63-9ABE-42C08028F992}"/>
            </c:ext>
          </c:extLst>
        </c:ser>
        <c:ser>
          <c:idx val="2"/>
          <c:order val="2"/>
          <c:tx>
            <c:strRef>
              <c:f>Einzelkanal!$AU$51</c:f>
              <c:strCache>
                <c:ptCount val="1"/>
                <c:pt idx="0">
                  <c:v>Keine Taylorflow ausbildung durch unregelmäßiges Pumpen</c:v>
                </c:pt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Einzelkanal!$AU$52:$AU$53</c:f>
              <c:numCache>
                <c:formatCode>General</c:formatCode>
                <c:ptCount val="2"/>
                <c:pt idx="0">
                  <c:v>1.4999999999999999E-2</c:v>
                </c:pt>
                <c:pt idx="1">
                  <c:v>1.5E-3</c:v>
                </c:pt>
              </c:numCache>
            </c:numRef>
          </c:xVal>
          <c:yVal>
            <c:numRef>
              <c:f>Einzelkanal!$AV$52:$AV$53</c:f>
              <c:numCache>
                <c:formatCode>General</c:formatCode>
                <c:ptCount val="2"/>
                <c:pt idx="0">
                  <c:v>8.0000000000000002E-3</c:v>
                </c:pt>
                <c:pt idx="1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65-4B63-9ABE-42C08028F992}"/>
            </c:ext>
          </c:extLst>
        </c:ser>
        <c:ser>
          <c:idx val="3"/>
          <c:order val="3"/>
          <c:tx>
            <c:strRef>
              <c:f>Einzelkanal!$AQ$59</c:f>
              <c:strCache>
                <c:ptCount val="1"/>
                <c:pt idx="0">
                  <c:v>Unregelmäßiger Taylorfluss durch Pumpschwankungen</c:v>
                </c:pt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Einzelkanal!$AQ$60:$AQ$67</c:f>
              <c:numCache>
                <c:formatCode>General</c:formatCode>
                <c:ptCount val="8"/>
                <c:pt idx="0">
                  <c:v>1.4999999999999999E-2</c:v>
                </c:pt>
                <c:pt idx="4">
                  <c:v>0.15</c:v>
                </c:pt>
                <c:pt idx="5">
                  <c:v>7.0000000000000007E-2</c:v>
                </c:pt>
                <c:pt idx="6">
                  <c:v>0.11</c:v>
                </c:pt>
                <c:pt idx="7">
                  <c:v>0.19</c:v>
                </c:pt>
              </c:numCache>
            </c:numRef>
          </c:xVal>
          <c:yVal>
            <c:numRef>
              <c:f>Einzelkanal!$AR$60:$AR$67</c:f>
              <c:numCache>
                <c:formatCode>General</c:formatCode>
                <c:ptCount val="8"/>
                <c:pt idx="0">
                  <c:v>0.02</c:v>
                </c:pt>
                <c:pt idx="4">
                  <c:v>1.35E-2</c:v>
                </c:pt>
                <c:pt idx="5">
                  <c:v>0.02</c:v>
                </c:pt>
                <c:pt idx="6">
                  <c:v>0.01</c:v>
                </c:pt>
                <c:pt idx="7">
                  <c:v>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65-4B63-9ABE-42C08028F992}"/>
            </c:ext>
          </c:extLst>
        </c:ser>
        <c:ser>
          <c:idx val="4"/>
          <c:order val="4"/>
          <c:tx>
            <c:strRef>
              <c:f>Einzelkanal!$AK$44</c:f>
              <c:strCache>
                <c:ptCount val="1"/>
                <c:pt idx="0">
                  <c:v>Blasenfluss</c:v>
                </c:pt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Einzelkanal!$AK$45:$AK$46</c:f>
              <c:numCache>
                <c:formatCode>General</c:formatCode>
                <c:ptCount val="2"/>
                <c:pt idx="0">
                  <c:v>1.4999999999999999E-2</c:v>
                </c:pt>
                <c:pt idx="1">
                  <c:v>1.4999999999999999E-2</c:v>
                </c:pt>
              </c:numCache>
            </c:numRef>
          </c:xVal>
          <c:yVal>
            <c:numRef>
              <c:f>Einzelkanal!$AL$45:$AL$46</c:f>
              <c:numCache>
                <c:formatCode>General</c:formatCode>
                <c:ptCount val="2"/>
                <c:pt idx="0">
                  <c:v>0.1</c:v>
                </c:pt>
                <c:pt idx="1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65-4B63-9ABE-42C08028F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5768"/>
        <c:axId val="54663522"/>
      </c:scatterChart>
      <c:valAx>
        <c:axId val="5590576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Calibri"/>
                    <a:ea typeface="DejaVu Sans"/>
                  </a:rPr>
                  <a:t>Gasgeschwindigkeit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de-DE"/>
          </a:p>
        </c:txPr>
        <c:crossAx val="54663522"/>
        <c:crosses val="autoZero"/>
        <c:crossBetween val="midCat"/>
      </c:valAx>
      <c:valAx>
        <c:axId val="546635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Calibri"/>
                    <a:ea typeface="DejaVu Sans"/>
                  </a:rPr>
                  <a:t>Flüssigkeitsgeschwindigkeit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de-DE"/>
          </a:p>
        </c:txPr>
        <c:crossAx val="5590576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DejaVu San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4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de-DE" sz="1400" b="0" strike="noStrike" spc="-1">
                <a:solidFill>
                  <a:srgbClr val="595959"/>
                </a:solidFill>
                <a:latin typeface="Calibri"/>
                <a:ea typeface="DejaVu Sans"/>
              </a:rPr>
              <a:t>Position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Einzelkanal!$AJ$83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92D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Einzelkanal!$AK$83:$AK$91</c:f>
              <c:numCache>
                <c:formatCode>General</c:formatCode>
                <c:ptCount val="9"/>
              </c:numCache>
            </c:numRef>
          </c:xVal>
          <c:yVal>
            <c:numRef>
              <c:f>Einzelkanal!$AL$83:$AL$91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9-4079-AFF7-56D7D864617B}"/>
            </c:ext>
          </c:extLst>
        </c:ser>
        <c:ser>
          <c:idx val="1"/>
          <c:order val="1"/>
          <c:tx>
            <c:strRef>
              <c:f>Einzelkanal!$AN$72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9DC3E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Einzelkanal!$AO$72:$AO$74</c:f>
              <c:numCache>
                <c:formatCode>General</c:formatCode>
                <c:ptCount val="3"/>
              </c:numCache>
            </c:numRef>
          </c:xVal>
          <c:yVal>
            <c:numRef>
              <c:f>Einzelkanal!$AP$72:$AP$74</c:f>
              <c:numCache>
                <c:formatCode>General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99-4079-AFF7-56D7D864617B}"/>
            </c:ext>
          </c:extLst>
        </c:ser>
        <c:ser>
          <c:idx val="2"/>
          <c:order val="2"/>
          <c:tx>
            <c:strRef>
              <c:f>Einzelkanal!$AJ$75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Einzelkanal!$AK$75</c:f>
              <c:numCache>
                <c:formatCode>General</c:formatCode>
                <c:ptCount val="1"/>
              </c:numCache>
            </c:numRef>
          </c:xVal>
          <c:yVal>
            <c:numRef>
              <c:f>Einzelkanal!$AL$75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99-4079-AFF7-56D7D864617B}"/>
            </c:ext>
          </c:extLst>
        </c:ser>
        <c:ser>
          <c:idx val="3"/>
          <c:order val="3"/>
          <c:tx>
            <c:strRef>
              <c:f>Einzelkanal!$AN$80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Einzelkanal!$AO$80:$AO$87</c:f>
              <c:numCache>
                <c:formatCode>General</c:formatCode>
                <c:ptCount val="8"/>
              </c:numCache>
            </c:numRef>
          </c:xVal>
          <c:yVal>
            <c:numRef>
              <c:f>Einzelkanal!$AP$80:$AP$87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99-4079-AFF7-56D7D864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23728"/>
        <c:axId val="24581206"/>
      </c:scatterChart>
      <c:valAx>
        <c:axId val="4182372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Calibri"/>
                    <a:ea typeface="DejaVu Sans"/>
                  </a:rPr>
                  <a:t>Gasgeschwindigkeit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de-DE"/>
          </a:p>
        </c:txPr>
        <c:crossAx val="24581206"/>
        <c:crosses val="autoZero"/>
        <c:crossBetween val="midCat"/>
      </c:valAx>
      <c:valAx>
        <c:axId val="2458120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Calibri"/>
                    <a:ea typeface="DejaVu Sans"/>
                  </a:rPr>
                  <a:t>Flüssigkeitsgeschwindigkeit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de-DE"/>
          </a:p>
        </c:txPr>
        <c:crossAx val="4182372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DejaVu San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400" b="0" strike="noStrike" spc="-1">
                <a:solidFill>
                  <a:srgbClr val="595959"/>
                </a:solidFill>
                <a:latin typeface="Arial"/>
                <a:ea typeface="DejaVu Sans"/>
              </a:defRPr>
            </a:pPr>
            <a:r>
              <a:rPr lang="de-DE" sz="1400" b="0" strike="noStrike" spc="-1">
                <a:solidFill>
                  <a:srgbClr val="595959"/>
                </a:solidFill>
                <a:latin typeface="Arial"/>
                <a:ea typeface="DejaVu Sans"/>
              </a:rPr>
              <a:t>Position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[1]Tabelle1!$AM$44</c:f>
              <c:strCache>
                <c:ptCount val="1"/>
              </c:strCache>
            </c:strRef>
          </c:tx>
          <c:spPr>
            <a:ln w="19080">
              <a:noFill/>
            </a:ln>
          </c:spPr>
          <c:marker>
            <c:symbol val="square"/>
            <c:size val="8"/>
            <c:spPr>
              <a:solidFill>
                <a:srgbClr val="92D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[1]Tabelle1!$AM$45:$AM$61</c:f>
              <c:numCache>
                <c:formatCode>General</c:formatCode>
                <c:ptCount val="17"/>
              </c:numCache>
            </c:numRef>
          </c:xVal>
          <c:yVal>
            <c:numRef>
              <c:f>[1]Tabelle1!$AN$45:$AN$61</c:f>
              <c:numCache>
                <c:formatCode>General</c:formatCode>
                <c:ptCount val="1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E7-4554-B112-AB3D803E580A}"/>
            </c:ext>
          </c:extLst>
        </c:ser>
        <c:ser>
          <c:idx val="1"/>
          <c:order val="1"/>
          <c:tx>
            <c:strRef>
              <c:f>[1]Tabelle1!$AP$44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9DC3E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[1]Tabelle1!$AP$45:$AP$52</c:f>
              <c:numCache>
                <c:formatCode>General</c:formatCode>
                <c:ptCount val="8"/>
              </c:numCache>
            </c:numRef>
          </c:xVal>
          <c:yVal>
            <c:numRef>
              <c:f>[1]Tabelle1!$AQ$45:$AQ$52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E7-4554-B112-AB3D803E580A}"/>
            </c:ext>
          </c:extLst>
        </c:ser>
        <c:ser>
          <c:idx val="2"/>
          <c:order val="2"/>
          <c:tx>
            <c:strRef>
              <c:f>[1]Tabelle1!$AT$51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[1]Tabelle1!$AT$52:$AT$53</c:f>
              <c:numCache>
                <c:formatCode>General</c:formatCode>
                <c:ptCount val="2"/>
              </c:numCache>
            </c:numRef>
          </c:xVal>
          <c:yVal>
            <c:numRef>
              <c:f>[1]Tabelle1!$AU$52:$AU$53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E7-4554-B112-AB3D803E580A}"/>
            </c:ext>
          </c:extLst>
        </c:ser>
        <c:ser>
          <c:idx val="3"/>
          <c:order val="3"/>
          <c:tx>
            <c:strRef>
              <c:f>[1]Tabelle1!$AP$59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[1]Tabelle1!$AP$60:$AP$67</c:f>
              <c:numCache>
                <c:formatCode>General</c:formatCode>
                <c:ptCount val="8"/>
              </c:numCache>
            </c:numRef>
          </c:xVal>
          <c:yVal>
            <c:numRef>
              <c:f>[1]Tabelle1!$AQ$60:$AQ$67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E7-4554-B112-AB3D803E580A}"/>
            </c:ext>
          </c:extLst>
        </c:ser>
        <c:ser>
          <c:idx val="4"/>
          <c:order val="4"/>
          <c:tx>
            <c:strRef>
              <c:f>[1]Tabelle1!$AJ$44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[1]Tabelle1!$AJ$45:$AJ$46</c:f>
              <c:numCache>
                <c:formatCode>General</c:formatCode>
                <c:ptCount val="2"/>
              </c:numCache>
            </c:numRef>
          </c:xVal>
          <c:yVal>
            <c:numRef>
              <c:f>[1]Tabelle1!$AK$45:$AK$46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E7-4554-B112-AB3D803E5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25179"/>
        <c:axId val="35865288"/>
      </c:scatterChart>
      <c:valAx>
        <c:axId val="9792517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rPr>
                  <a:t>Gasgeschwindigkeit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  <a:ea typeface="DejaVu Sans"/>
              </a:defRPr>
            </a:pPr>
            <a:endParaRPr lang="de-DE"/>
          </a:p>
        </c:txPr>
        <c:crossAx val="35865288"/>
        <c:crosses val="autoZero"/>
        <c:crossBetween val="midCat"/>
      </c:valAx>
      <c:valAx>
        <c:axId val="358652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rPr>
                  <a:t>Flüssigkeitsgeschwindigkeit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  <a:ea typeface="DejaVu Sans"/>
              </a:defRPr>
            </a:pPr>
            <a:endParaRPr lang="de-DE"/>
          </a:p>
        </c:txPr>
        <c:crossAx val="9792517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  <a:ea typeface="DejaVu San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400" b="0" strike="noStrike" spc="-1">
                <a:solidFill>
                  <a:srgbClr val="595959"/>
                </a:solidFill>
                <a:latin typeface="Arial"/>
                <a:ea typeface="DejaVu Sans"/>
              </a:defRPr>
            </a:pPr>
            <a:r>
              <a:rPr lang="de-DE" sz="1400" b="0" strike="noStrike" spc="-1">
                <a:solidFill>
                  <a:srgbClr val="595959"/>
                </a:solidFill>
                <a:latin typeface="Arial"/>
                <a:ea typeface="DejaVu Sans"/>
              </a:rPr>
              <a:t>Position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[1]Tabelle1!$AI$94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92D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[1]Tabelle1!$AJ$94:$AJ$98</c:f>
              <c:numCache>
                <c:formatCode>General</c:formatCode>
                <c:ptCount val="5"/>
              </c:numCache>
            </c:numRef>
          </c:xVal>
          <c:yVal>
            <c:numRef>
              <c:f>[1]Tabelle1!$AK$94:$AK$98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B5-4AC9-9F3C-906D645E66D2}"/>
            </c:ext>
          </c:extLst>
        </c:ser>
        <c:ser>
          <c:idx val="1"/>
          <c:order val="1"/>
          <c:tx>
            <c:strRef>
              <c:f>[1]Tabelle1!$AM$75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9DC3E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[1]Tabelle1!$AN$75:$AN$79</c:f>
              <c:numCache>
                <c:formatCode>General</c:formatCode>
                <c:ptCount val="5"/>
              </c:numCache>
            </c:numRef>
          </c:xVal>
          <c:yVal>
            <c:numRef>
              <c:f>[1]Tabelle1!$AO$75:$AO$79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B5-4AC9-9F3C-906D645E66D2}"/>
            </c:ext>
          </c:extLst>
        </c:ser>
        <c:ser>
          <c:idx val="2"/>
          <c:order val="2"/>
          <c:tx>
            <c:strRef>
              <c:f>[1]Tabelle1!$AI$80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[1]Tabelle1!$AJ$80</c:f>
              <c:numCache>
                <c:formatCode>General</c:formatCode>
                <c:ptCount val="1"/>
              </c:numCache>
            </c:numRef>
          </c:xVal>
          <c:yVal>
            <c:numRef>
              <c:f>[1]Tabelle1!$AK$80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B5-4AC9-9F3C-906D645E66D2}"/>
            </c:ext>
          </c:extLst>
        </c:ser>
        <c:ser>
          <c:idx val="3"/>
          <c:order val="3"/>
          <c:tx>
            <c:strRef>
              <c:f>[1]Tabelle1!$AM$91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[1]Tabelle1!$AN$91:$AN$97</c:f>
              <c:numCache>
                <c:formatCode>General</c:formatCode>
                <c:ptCount val="7"/>
              </c:numCache>
            </c:numRef>
          </c:xVal>
          <c:yVal>
            <c:numRef>
              <c:f>[1]Tabelle1!$AO$91:$AO$97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B5-4AC9-9F3C-906D645E6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7579"/>
        <c:axId val="51516313"/>
      </c:scatterChart>
      <c:valAx>
        <c:axId val="378757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rPr>
                  <a:t>Gasgeschwindigkeit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  <a:ea typeface="DejaVu Sans"/>
              </a:defRPr>
            </a:pPr>
            <a:endParaRPr lang="de-DE"/>
          </a:p>
        </c:txPr>
        <c:crossAx val="51516313"/>
        <c:crosses val="autoZero"/>
        <c:crossBetween val="midCat"/>
      </c:valAx>
      <c:valAx>
        <c:axId val="515163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rPr>
                  <a:t>Flüssigkeitsgeschwindigkeit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  <a:ea typeface="DejaVu Sans"/>
              </a:defRPr>
            </a:pPr>
            <a:endParaRPr lang="de-DE"/>
          </a:p>
        </c:txPr>
        <c:crossAx val="378757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  <a:ea typeface="DejaVu San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400" b="0" strike="noStrike" spc="-1">
                <a:solidFill>
                  <a:srgbClr val="595959"/>
                </a:solidFill>
                <a:latin typeface="Arial"/>
                <a:ea typeface="DejaVu Sans"/>
              </a:defRPr>
            </a:pPr>
            <a:r>
              <a:rPr lang="de-DE" sz="1400" b="0" strike="noStrike" spc="-1">
                <a:solidFill>
                  <a:srgbClr val="595959"/>
                </a:solidFill>
                <a:latin typeface="Arial"/>
                <a:ea typeface="DejaVu Sans"/>
              </a:rPr>
              <a:t>Glaskanal Position 1  20 Vol % CO2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[1]Tabelle1!$AS$132</c:f>
              <c:strCache>
                <c:ptCount val="1"/>
              </c:strCache>
            </c:strRef>
          </c:tx>
          <c:spPr>
            <a:ln w="19080">
              <a:noFill/>
            </a:ln>
          </c:spPr>
          <c:marker>
            <c:symbol val="square"/>
            <c:size val="8"/>
            <c:spPr>
              <a:solidFill>
                <a:srgbClr val="92D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[1]Tabelle1!$AT$132:$AT$153</c:f>
              <c:numCache>
                <c:formatCode>General</c:formatCode>
                <c:ptCount val="22"/>
              </c:numCache>
            </c:numRef>
          </c:xVal>
          <c:yVal>
            <c:numRef>
              <c:f>[1]Tabelle1!$AU$132:$AU$153</c:f>
              <c:numCache>
                <c:formatCode>General</c:formatCode>
                <c:ptCount val="2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C-46D0-B857-3488C4CC6C12}"/>
            </c:ext>
          </c:extLst>
        </c:ser>
        <c:ser>
          <c:idx val="1"/>
          <c:order val="1"/>
          <c:tx>
            <c:strRef>
              <c:f>[1]Tabelle1!$AX$132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triangle"/>
            <c:size val="8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[1]Tabelle1!$AY$132:$AY$136</c:f>
              <c:numCache>
                <c:formatCode>General</c:formatCode>
                <c:ptCount val="5"/>
              </c:numCache>
            </c:numRef>
          </c:xVal>
          <c:yVal>
            <c:numRef>
              <c:f>[1]Tabelle1!$AZ$132:$AZ$136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FC-46D0-B857-3488C4CC6C12}"/>
            </c:ext>
          </c:extLst>
        </c:ser>
        <c:ser>
          <c:idx val="2"/>
          <c:order val="2"/>
          <c:tx>
            <c:strRef>
              <c:f>[1]Tabelle1!$BC$132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circle"/>
            <c:size val="8"/>
            <c:spPr>
              <a:solidFill>
                <a:srgbClr val="00B0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[1]Tabelle1!$BD$132:$BD$136</c:f>
              <c:numCache>
                <c:formatCode>General</c:formatCode>
                <c:ptCount val="5"/>
              </c:numCache>
            </c:numRef>
          </c:xVal>
          <c:yVal>
            <c:numRef>
              <c:f>[1]Tabelle1!$BE$132:$BE$136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FC-46D0-B857-3488C4CC6C12}"/>
            </c:ext>
          </c:extLst>
        </c:ser>
        <c:ser>
          <c:idx val="3"/>
          <c:order val="3"/>
          <c:tx>
            <c:strRef>
              <c:f>[1]Tabelle1!$BH$132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diamond"/>
            <c:size val="10"/>
            <c:spPr>
              <a:solidFill>
                <a:srgbClr val="BDD7E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[1]Tabelle1!$BI$132</c:f>
              <c:numCache>
                <c:formatCode>General</c:formatCode>
                <c:ptCount val="1"/>
              </c:numCache>
            </c:numRef>
          </c:xVal>
          <c:yVal>
            <c:numRef>
              <c:f>[1]Tabelle1!$BJ$132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FC-46D0-B857-3488C4CC6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10732"/>
        <c:axId val="58668952"/>
      </c:scatterChart>
      <c:valAx>
        <c:axId val="5161073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rPr>
                  <a:t>Gasgeschwindigkeit [m/s]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  <a:ea typeface="DejaVu Sans"/>
              </a:defRPr>
            </a:pPr>
            <a:endParaRPr lang="de-DE"/>
          </a:p>
        </c:txPr>
        <c:crossAx val="58668952"/>
        <c:crosses val="autoZero"/>
        <c:crossBetween val="midCat"/>
      </c:valAx>
      <c:valAx>
        <c:axId val="586689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rPr>
                  <a:t>Flüssigkeitsgeschwindigkeit [m/s]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  <a:ea typeface="DejaVu Sans"/>
              </a:defRPr>
            </a:pPr>
            <a:endParaRPr lang="de-DE"/>
          </a:p>
        </c:txPr>
        <c:crossAx val="5161073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  <a:ea typeface="DejaVu San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400" b="0" strike="noStrike" spc="-1">
                <a:solidFill>
                  <a:srgbClr val="595959"/>
                </a:solidFill>
                <a:latin typeface="Arial"/>
                <a:ea typeface="DejaVu Sans"/>
              </a:defRPr>
            </a:pPr>
            <a:r>
              <a:rPr lang="de-DE" sz="1400" b="0" strike="noStrike" spc="-1">
                <a:solidFill>
                  <a:srgbClr val="595959"/>
                </a:solidFill>
                <a:latin typeface="Arial"/>
                <a:ea typeface="DejaVu Sans"/>
              </a:rPr>
              <a:t>Glaskanal Position 2  20 Vol % CO2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[1]Tabelle1!$AR$172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square"/>
            <c:size val="8"/>
            <c:spPr>
              <a:solidFill>
                <a:srgbClr val="92D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[1]Tabelle1!$AS$172:$AS$190</c:f>
              <c:numCache>
                <c:formatCode>General</c:formatCode>
                <c:ptCount val="19"/>
              </c:numCache>
            </c:numRef>
          </c:xVal>
          <c:yVal>
            <c:numRef>
              <c:f>[1]Tabelle1!$AT$172:$AT$190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56-4F31-8843-3C96CDA3DC8D}"/>
            </c:ext>
          </c:extLst>
        </c:ser>
        <c:ser>
          <c:idx val="1"/>
          <c:order val="1"/>
          <c:tx>
            <c:strRef>
              <c:f>[1]Tabelle1!$AV$172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triangle"/>
            <c:size val="8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[1]Tabelle1!$AW$172:$AW$174</c:f>
              <c:numCache>
                <c:formatCode>General</c:formatCode>
                <c:ptCount val="3"/>
              </c:numCache>
            </c:numRef>
          </c:xVal>
          <c:yVal>
            <c:numRef>
              <c:f>[1]Tabelle1!$AX$172:$AX$174</c:f>
              <c:numCache>
                <c:formatCode>General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56-4F31-8843-3C96CDA3DC8D}"/>
            </c:ext>
          </c:extLst>
        </c:ser>
        <c:ser>
          <c:idx val="2"/>
          <c:order val="2"/>
          <c:tx>
            <c:strRef>
              <c:f>[1]Tabelle1!$AV$176</c:f>
              <c:strCache>
                <c:ptCount val="1"/>
              </c:strCache>
            </c:strRef>
          </c:tx>
          <c:spPr>
            <a:ln w="25560">
              <a:noFill/>
            </a:ln>
          </c:spPr>
          <c:marker>
            <c:symbol val="diamond"/>
            <c:size val="10"/>
            <c:spPr>
              <a:solidFill>
                <a:srgbClr val="BDD7E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[1]Tabelle1!$AW$176:$AW$177</c:f>
              <c:numCache>
                <c:formatCode>General</c:formatCode>
                <c:ptCount val="2"/>
              </c:numCache>
            </c:numRef>
          </c:xVal>
          <c:yVal>
            <c:numRef>
              <c:f>[1]Tabelle1!$AX$176:$AX$177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56-4F31-8843-3C96CDA3D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75333"/>
        <c:axId val="9108188"/>
      </c:scatterChart>
      <c:valAx>
        <c:axId val="3427533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rPr>
                  <a:t>Gasgeschwindigkeit [m/s]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  <a:ea typeface="DejaVu Sans"/>
              </a:defRPr>
            </a:pPr>
            <a:endParaRPr lang="de-DE"/>
          </a:p>
        </c:txPr>
        <c:crossAx val="9108188"/>
        <c:crosses val="autoZero"/>
        <c:crossBetween val="midCat"/>
      </c:valAx>
      <c:valAx>
        <c:axId val="91081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defRPr>
                </a:pPr>
                <a:r>
                  <a:rPr lang="de-DE" sz="1000" b="0" strike="noStrike" spc="-1">
                    <a:solidFill>
                      <a:srgbClr val="595959"/>
                    </a:solidFill>
                    <a:latin typeface="Arial"/>
                    <a:ea typeface="DejaVu Sans"/>
                  </a:rPr>
                  <a:t>Flüssigkeitsgeschwindigkeit [m/s]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  <a:ea typeface="DejaVu Sans"/>
              </a:defRPr>
            </a:pPr>
            <a:endParaRPr lang="de-DE"/>
          </a:p>
        </c:txPr>
        <c:crossAx val="3427533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rial"/>
              <a:ea typeface="DejaVu Sans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57240</xdr:colOff>
      <xdr:row>34</xdr:row>
      <xdr:rowOff>160920</xdr:rowOff>
    </xdr:from>
    <xdr:to>
      <xdr:col>42</xdr:col>
      <xdr:colOff>1800</xdr:colOff>
      <xdr:row>64</xdr:row>
      <xdr:rowOff>124200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30</xdr:col>
      <xdr:colOff>510840</xdr:colOff>
      <xdr:row>59</xdr:row>
      <xdr:rowOff>187200</xdr:rowOff>
    </xdr:from>
    <xdr:to>
      <xdr:col>45</xdr:col>
      <xdr:colOff>411120</xdr:colOff>
      <xdr:row>86</xdr:row>
      <xdr:rowOff>150480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31</xdr:col>
      <xdr:colOff>302400</xdr:colOff>
      <xdr:row>27</xdr:row>
      <xdr:rowOff>146520</xdr:rowOff>
    </xdr:from>
    <xdr:to>
      <xdr:col>49</xdr:col>
      <xdr:colOff>250200</xdr:colOff>
      <xdr:row>57</xdr:row>
      <xdr:rowOff>111600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453960</xdr:colOff>
      <xdr:row>69</xdr:row>
      <xdr:rowOff>46440</xdr:rowOff>
    </xdr:from>
    <xdr:to>
      <xdr:col>39</xdr:col>
      <xdr:colOff>351360</xdr:colOff>
      <xdr:row>103</xdr:row>
      <xdr:rowOff>11520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22</xdr:col>
      <xdr:colOff>96480</xdr:colOff>
      <xdr:row>123</xdr:row>
      <xdr:rowOff>55440</xdr:rowOff>
    </xdr:from>
    <xdr:to>
      <xdr:col>38</xdr:col>
      <xdr:colOff>413280</xdr:colOff>
      <xdr:row>160</xdr:row>
      <xdr:rowOff>179640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557640</xdr:colOff>
      <xdr:row>148</xdr:row>
      <xdr:rowOff>64440</xdr:rowOff>
    </xdr:from>
    <xdr:to>
      <xdr:col>41</xdr:col>
      <xdr:colOff>531360</xdr:colOff>
      <xdr:row>199</xdr:row>
      <xdr:rowOff>188640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ta807/Desktop/Messungen/Laborbuch_a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le1"/>
      <sheetName val="Tabelle2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B1:X436" totalsRowShown="0">
  <autoFilter ref="B1:X436" xr:uid="{00000000-0009-0000-0100-000001000000}"/>
  <tableColumns count="23">
    <tableColumn id="1" xr3:uid="{00000000-0010-0000-0000-000001000000}" name="Kommentar"/>
    <tableColumn id="2" xr3:uid="{00000000-0010-0000-0000-000002000000}" name="Kalibrierdateiname"/>
    <tableColumn id="3" xr3:uid="{00000000-0010-0000-0000-000003000000}" name="Offset"/>
    <tableColumn id="4" xr3:uid="{00000000-0010-0000-0000-000004000000}" name="Dateiname"/>
    <tableColumn id="5" xr3:uid="{00000000-0010-0000-0000-000005000000}" name="Datum"/>
    <tableColumn id="6" xr3:uid="{00000000-0010-0000-0000-000006000000}" name="Uhrzeit"/>
    <tableColumn id="7" xr3:uid="{00000000-0010-0000-0000-000007000000}" name="eingestellter _x000a_Gasstrom"/>
    <tableColumn id="8" xr3:uid="{00000000-0010-0000-0000-000008000000}" name="Realer Gasstrom"/>
    <tableColumn id="9" xr3:uid="{00000000-0010-0000-0000-000009000000}" name="Gasgeschwindigkeit"/>
    <tableColumn id="10" xr3:uid="{00000000-0010-0000-0000-00000A000000}" name="Flüssigkeitsstrom"/>
    <tableColumn id="11" xr3:uid="{00000000-0010-0000-0000-00000B000000}" name="Flüssigkeitsgeschwindigkeit"/>
    <tableColumn id="12" xr3:uid="{00000000-0010-0000-0000-00000C000000}" name="Umgebungstemperatur"/>
    <tableColumn id="13" xr3:uid="{00000000-0010-0000-0000-00000D000000}" name="Umgebungsdruck"/>
    <tableColumn id="14" xr3:uid="{00000000-0010-0000-0000-00000E000000}" name="Vordruck"/>
    <tableColumn id="15" xr3:uid="{00000000-0010-0000-0000-00000F000000}" name="Kameraposition"/>
    <tableColumn id="16" xr3:uid="{00000000-0010-0000-0000-000010000000}" name="Letzte Erneuerung _x000a_des Wassers"/>
    <tableColumn id="17" xr3:uid="{00000000-0010-0000-0000-000011000000}" name="Kanalmaterial"/>
    <tableColumn id="18" xr3:uid="{00000000-0010-0000-0000-000012000000}" name="Kanalform"/>
    <tableColumn id="19" xr3:uid="{00000000-0010-0000-0000-000013000000}" name="Kanalmaße"/>
    <tableColumn id="20" xr3:uid="{00000000-0010-0000-0000-000014000000}" name="Nadeldurchmesser"/>
    <tableColumn id="21" xr3:uid="{00000000-0010-0000-0000-000015000000}" name="Genutzter MFC"/>
    <tableColumn id="22" xr3:uid="{00000000-0010-0000-0000-000016000000}" name="CO2-Anteil"/>
    <tableColumn id="23" xr3:uid="{00000000-0010-0000-0000-000017000000}" name="Kanallaen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46"/>
  <sheetViews>
    <sheetView tabSelected="1" topLeftCell="F76" zoomScale="85" zoomScaleNormal="85" workbookViewId="0">
      <selection activeCell="I97" sqref="I97"/>
    </sheetView>
  </sheetViews>
  <sheetFormatPr baseColWidth="10" defaultColWidth="9.140625" defaultRowHeight="15" x14ac:dyDescent="0.25"/>
  <cols>
    <col min="2" max="2" width="11.42578125" style="15" customWidth="1"/>
    <col min="3" max="4" width="33.85546875" style="15" customWidth="1"/>
    <col min="5" max="5" width="45.5703125" style="15" customWidth="1"/>
    <col min="6" max="6" width="13" style="15" customWidth="1"/>
    <col min="7" max="7" width="30.7109375" style="15" customWidth="1"/>
    <col min="8" max="8" width="18.140625" style="15" customWidth="1"/>
    <col min="9" max="9" width="30.42578125" style="15" customWidth="1"/>
    <col min="10" max="10" width="23.7109375" style="15" customWidth="1"/>
    <col min="11" max="11" width="31" style="15" customWidth="1"/>
    <col min="12" max="12" width="28.28515625" style="15" customWidth="1"/>
    <col min="13" max="13" width="26.85546875" style="15" customWidth="1"/>
    <col min="14" max="14" width="35" style="15" customWidth="1"/>
    <col min="15" max="15" width="26" style="15" customWidth="1"/>
    <col min="16" max="16" width="15.7109375" style="15" customWidth="1"/>
    <col min="17" max="17" width="9.7109375" style="15" customWidth="1"/>
    <col min="19" max="19" width="12.5703125" style="15" customWidth="1"/>
    <col min="24" max="24" width="13.140625" style="15" customWidth="1"/>
    <col min="30" max="30" width="18.140625" style="15" customWidth="1"/>
  </cols>
  <sheetData>
    <row r="1" spans="1:36" ht="75" x14ac:dyDescent="0.25"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7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8" t="s">
        <v>15</v>
      </c>
      <c r="R1" s="19" t="s">
        <v>16</v>
      </c>
      <c r="S1" s="16" t="s">
        <v>17</v>
      </c>
      <c r="T1" s="19" t="s">
        <v>18</v>
      </c>
      <c r="U1" s="19" t="s">
        <v>19</v>
      </c>
      <c r="V1" s="19" t="s">
        <v>20</v>
      </c>
      <c r="W1" s="19" t="s">
        <v>21</v>
      </c>
      <c r="X1" s="16" t="s">
        <v>22</v>
      </c>
    </row>
    <row r="2" spans="1:36" x14ac:dyDescent="0.25">
      <c r="B2" s="20" t="s">
        <v>23</v>
      </c>
      <c r="E2" s="15" t="s">
        <v>24</v>
      </c>
      <c r="F2" s="21">
        <v>46077</v>
      </c>
      <c r="G2" s="22">
        <v>0.64236111111111105</v>
      </c>
      <c r="H2" s="23">
        <f>I2 *Tabelle1[[#This Row],[Umgebungsdruck]]/101325*273.15/(Tabelle1[[#This Row],[Umgebungstemperatur]]+273.15)/0.7828</f>
        <v>10.658263474128688</v>
      </c>
      <c r="I2" s="15">
        <f>Tabelle1[[#This Row],[Gasgeschwindigkeit]]*60</f>
        <v>9</v>
      </c>
      <c r="J2" s="15">
        <v>0.15</v>
      </c>
      <c r="K2" s="15">
        <f>Tabelle1[[#This Row],[Flüssigkeitsgeschwindigkeit]]*60</f>
        <v>6</v>
      </c>
      <c r="L2" s="15">
        <v>0.1</v>
      </c>
      <c r="M2" s="15">
        <v>21.5</v>
      </c>
      <c r="N2" s="15">
        <v>101325</v>
      </c>
      <c r="O2" s="15">
        <v>0.8</v>
      </c>
      <c r="P2" s="15">
        <v>1</v>
      </c>
      <c r="Q2" s="22">
        <v>0.44444444444444398</v>
      </c>
      <c r="R2" s="19" t="s">
        <v>25</v>
      </c>
      <c r="S2" s="15" t="s">
        <v>26</v>
      </c>
      <c r="T2">
        <v>1</v>
      </c>
      <c r="U2">
        <v>0.6</v>
      </c>
      <c r="V2">
        <v>1</v>
      </c>
      <c r="W2">
        <v>1</v>
      </c>
    </row>
    <row r="3" spans="1:36" ht="43.5" customHeight="1" x14ac:dyDescent="0.25">
      <c r="A3" t="s">
        <v>27</v>
      </c>
      <c r="B3" s="24" t="s">
        <v>28</v>
      </c>
      <c r="E3" s="15" t="s">
        <v>29</v>
      </c>
      <c r="F3" s="21">
        <v>46077</v>
      </c>
      <c r="G3" s="22">
        <v>0.63680555555555596</v>
      </c>
      <c r="H3" s="23">
        <f>I3 *Tabelle1[[#This Row],[Umgebungsdruck]]/101325*273.15/(Tabelle1[[#This Row],[Umgebungstemperatur]]+273.15)/0.7828</f>
        <v>10.658263474128688</v>
      </c>
      <c r="I3" s="15">
        <f>Tabelle1[[#This Row],[Gasgeschwindigkeit]]*60</f>
        <v>9</v>
      </c>
      <c r="J3" s="15">
        <v>0.15</v>
      </c>
      <c r="K3" s="15">
        <f>Tabelle1[[#This Row],[Flüssigkeitsgeschwindigkeit]]*60</f>
        <v>3.5999999999999996</v>
      </c>
      <c r="L3" s="15">
        <v>0.06</v>
      </c>
      <c r="M3" s="15">
        <v>21.5</v>
      </c>
      <c r="N3" s="15">
        <v>101325</v>
      </c>
      <c r="O3" s="15">
        <v>0.8</v>
      </c>
      <c r="P3" s="15">
        <v>1</v>
      </c>
      <c r="Q3" s="22">
        <v>0.44444444444444398</v>
      </c>
      <c r="R3" s="19" t="s">
        <v>25</v>
      </c>
      <c r="S3" s="15" t="s">
        <v>26</v>
      </c>
      <c r="T3">
        <v>1</v>
      </c>
      <c r="U3">
        <v>0.6</v>
      </c>
      <c r="V3">
        <v>1</v>
      </c>
      <c r="W3">
        <v>1</v>
      </c>
    </row>
    <row r="4" spans="1:36" x14ac:dyDescent="0.25">
      <c r="B4" s="24" t="s">
        <v>28</v>
      </c>
      <c r="E4" s="15" t="s">
        <v>30</v>
      </c>
      <c r="F4" s="21">
        <v>46077</v>
      </c>
      <c r="G4" s="22">
        <v>0.64930555555555602</v>
      </c>
      <c r="H4" s="23">
        <f>I4 *Tabelle1[[#This Row],[Umgebungsdruck]]/101325*273.15/(Tabelle1[[#This Row],[Umgebungstemperatur]]+273.15)/0.7828</f>
        <v>10.658263474128688</v>
      </c>
      <c r="I4" s="15">
        <f>Tabelle1[[#This Row],[Gasgeschwindigkeit]]*60</f>
        <v>9</v>
      </c>
      <c r="J4" s="15">
        <v>0.15</v>
      </c>
      <c r="K4" s="15">
        <f>Tabelle1[[#This Row],[Flüssigkeitsgeschwindigkeit]]*60</f>
        <v>1.2</v>
      </c>
      <c r="L4" s="15">
        <v>0.02</v>
      </c>
      <c r="M4" s="15">
        <v>21.5</v>
      </c>
      <c r="N4" s="15">
        <v>101325</v>
      </c>
      <c r="O4" s="15">
        <v>0.8</v>
      </c>
      <c r="P4" s="15">
        <v>1</v>
      </c>
      <c r="Q4" s="22">
        <v>0.44444444444444398</v>
      </c>
      <c r="R4" s="19" t="s">
        <v>25</v>
      </c>
      <c r="S4" s="15" t="s">
        <v>26</v>
      </c>
      <c r="T4">
        <v>1</v>
      </c>
      <c r="U4">
        <v>0.6</v>
      </c>
      <c r="V4">
        <v>1</v>
      </c>
      <c r="W4">
        <v>1</v>
      </c>
    </row>
    <row r="5" spans="1:36" x14ac:dyDescent="0.25">
      <c r="B5" s="25" t="s">
        <v>31</v>
      </c>
      <c r="E5" s="15" t="s">
        <v>32</v>
      </c>
      <c r="F5" s="21">
        <v>46077</v>
      </c>
      <c r="G5" s="22">
        <v>0.65277777777777801</v>
      </c>
      <c r="H5" s="23">
        <f>I5 *Tabelle1[[#This Row],[Umgebungsdruck]]/101325*273.15/(Tabelle1[[#This Row],[Umgebungstemperatur]]+273.15)/0.7828</f>
        <v>10.658263474128688</v>
      </c>
      <c r="I5" s="15">
        <f>Tabelle1[[#This Row],[Gasgeschwindigkeit]]*60</f>
        <v>9</v>
      </c>
      <c r="J5" s="15">
        <v>0.15</v>
      </c>
      <c r="K5" s="15">
        <f>Tabelle1[[#This Row],[Flüssigkeitsgeschwindigkeit]]*60</f>
        <v>0.80999999999999994</v>
      </c>
      <c r="L5" s="15">
        <v>1.35E-2</v>
      </c>
      <c r="M5" s="15">
        <v>21.5</v>
      </c>
      <c r="N5" s="15">
        <v>101325</v>
      </c>
      <c r="O5" s="15">
        <v>0.8</v>
      </c>
      <c r="P5" s="15">
        <v>1</v>
      </c>
      <c r="Q5" s="22">
        <v>0.44444444444444398</v>
      </c>
      <c r="R5" s="19" t="s">
        <v>25</v>
      </c>
      <c r="S5" s="15" t="s">
        <v>26</v>
      </c>
      <c r="T5">
        <v>1</v>
      </c>
      <c r="U5">
        <v>0.6</v>
      </c>
      <c r="V5">
        <v>1</v>
      </c>
      <c r="W5">
        <v>1</v>
      </c>
    </row>
    <row r="6" spans="1:36" x14ac:dyDescent="0.25">
      <c r="B6" s="20" t="s">
        <v>23</v>
      </c>
      <c r="E6" s="15" t="s">
        <v>33</v>
      </c>
      <c r="F6" s="21">
        <v>46078</v>
      </c>
      <c r="G6" s="22">
        <v>0.41666666666666702</v>
      </c>
      <c r="H6" s="23">
        <f>I6 *Tabelle1[[#This Row],[Umgebungsdruck]]/101325*273.15/(Tabelle1[[#This Row],[Umgebungstemperatur]]+273.15)/0.7828</f>
        <v>4.9806176898474375</v>
      </c>
      <c r="I6" s="15">
        <f>Tabelle1[[#This Row],[Gasgeschwindigkeit]]*60</f>
        <v>4.2</v>
      </c>
      <c r="J6" s="15">
        <v>7.0000000000000007E-2</v>
      </c>
      <c r="K6" s="15">
        <f>Tabelle1[[#This Row],[Flüssigkeitsgeschwindigkeit]]*60</f>
        <v>6</v>
      </c>
      <c r="L6" s="15">
        <v>0.1</v>
      </c>
      <c r="M6" s="15">
        <v>21.1</v>
      </c>
      <c r="N6" s="15">
        <v>101325</v>
      </c>
      <c r="O6" s="15">
        <v>0.8</v>
      </c>
      <c r="P6" s="15">
        <v>1</v>
      </c>
      <c r="Q6" s="22">
        <v>0.375</v>
      </c>
      <c r="R6" s="19" t="s">
        <v>25</v>
      </c>
      <c r="S6" s="15" t="s">
        <v>26</v>
      </c>
      <c r="T6">
        <v>1</v>
      </c>
      <c r="U6">
        <v>0.6</v>
      </c>
      <c r="V6">
        <v>1</v>
      </c>
      <c r="W6">
        <v>1</v>
      </c>
    </row>
    <row r="7" spans="1:36" x14ac:dyDescent="0.25">
      <c r="B7" s="20" t="s">
        <v>23</v>
      </c>
      <c r="E7" s="15" t="s">
        <v>34</v>
      </c>
      <c r="F7" s="21">
        <v>46078</v>
      </c>
      <c r="G7" s="22">
        <v>0.422916666666667</v>
      </c>
      <c r="H7" s="23">
        <f>I7 *Tabelle1[[#This Row],[Umgebungsdruck]]/101325*273.15/(Tabelle1[[#This Row],[Umgebungstemperatur]]+273.15)/0.7828</f>
        <v>4.9806176898474375</v>
      </c>
      <c r="I7" s="15">
        <f>Tabelle1[[#This Row],[Gasgeschwindigkeit]]*60</f>
        <v>4.2</v>
      </c>
      <c r="J7" s="15">
        <v>7.0000000000000007E-2</v>
      </c>
      <c r="K7" s="15">
        <f>Tabelle1[[#This Row],[Flüssigkeitsgeschwindigkeit]]*60</f>
        <v>3.5999999999999996</v>
      </c>
      <c r="L7" s="15">
        <v>0.06</v>
      </c>
      <c r="M7" s="15">
        <v>21.1</v>
      </c>
      <c r="N7" s="15">
        <v>101325</v>
      </c>
      <c r="O7" s="15">
        <v>0.8</v>
      </c>
      <c r="P7" s="15">
        <v>1</v>
      </c>
      <c r="Q7" s="22">
        <v>0.375</v>
      </c>
      <c r="R7" s="19" t="s">
        <v>25</v>
      </c>
      <c r="S7" s="15" t="s">
        <v>26</v>
      </c>
      <c r="T7">
        <v>1</v>
      </c>
      <c r="U7">
        <v>0.6</v>
      </c>
      <c r="V7">
        <v>1</v>
      </c>
      <c r="W7">
        <v>1</v>
      </c>
    </row>
    <row r="8" spans="1:36" x14ac:dyDescent="0.25">
      <c r="B8" s="24" t="s">
        <v>28</v>
      </c>
      <c r="E8" s="15" t="s">
        <v>35</v>
      </c>
      <c r="F8" s="21">
        <v>46078</v>
      </c>
      <c r="G8" s="22">
        <v>0.43541666666666701</v>
      </c>
      <c r="H8" s="23">
        <f>I8 *Tabelle1[[#This Row],[Umgebungsdruck]]/101325*273.15/(Tabelle1[[#This Row],[Umgebungstemperatur]]+273.15)/0.7828</f>
        <v>4.9738562879267221</v>
      </c>
      <c r="I8" s="15">
        <f>Tabelle1[[#This Row],[Gasgeschwindigkeit]]*60</f>
        <v>4.2</v>
      </c>
      <c r="J8" s="15">
        <v>7.0000000000000007E-2</v>
      </c>
      <c r="K8" s="15">
        <f>Tabelle1[[#This Row],[Flüssigkeitsgeschwindigkeit]]*60</f>
        <v>2.52</v>
      </c>
      <c r="L8" s="15">
        <v>4.2000000000000003E-2</v>
      </c>
      <c r="M8" s="15">
        <v>21.5</v>
      </c>
      <c r="N8" s="15">
        <v>101325</v>
      </c>
      <c r="O8" s="15">
        <v>0.8</v>
      </c>
      <c r="P8" s="15">
        <v>1</v>
      </c>
      <c r="Q8" s="22">
        <v>0.375</v>
      </c>
      <c r="R8" s="19" t="s">
        <v>25</v>
      </c>
      <c r="S8" s="15" t="s">
        <v>26</v>
      </c>
      <c r="T8">
        <v>1</v>
      </c>
      <c r="U8">
        <v>0.6</v>
      </c>
      <c r="V8">
        <v>1</v>
      </c>
      <c r="W8">
        <v>1</v>
      </c>
    </row>
    <row r="9" spans="1:36" x14ac:dyDescent="0.25">
      <c r="B9" s="26" t="s">
        <v>36</v>
      </c>
      <c r="E9" s="15" t="s">
        <v>37</v>
      </c>
      <c r="F9" s="21">
        <v>46078</v>
      </c>
      <c r="G9" s="22">
        <v>0.44236111111111098</v>
      </c>
      <c r="H9" s="23">
        <f>I9 *Tabelle1[[#This Row],[Umgebungsdruck]]/101325*273.15/(Tabelle1[[#This Row],[Umgebungstemperatur]]+273.15)/0.7828</f>
        <v>4.9738562879267221</v>
      </c>
      <c r="I9" s="15">
        <f>Tabelle1[[#This Row],[Gasgeschwindigkeit]]*60</f>
        <v>4.2</v>
      </c>
      <c r="J9" s="15">
        <v>7.0000000000000007E-2</v>
      </c>
      <c r="K9" s="15">
        <f>Tabelle1[[#This Row],[Flüssigkeitsgeschwindigkeit]]*60</f>
        <v>1.2</v>
      </c>
      <c r="L9" s="15">
        <v>0.02</v>
      </c>
      <c r="M9" s="15">
        <v>21.5</v>
      </c>
      <c r="N9" s="15">
        <v>101325</v>
      </c>
      <c r="O9" s="15">
        <v>0.8</v>
      </c>
      <c r="P9" s="15">
        <v>1</v>
      </c>
      <c r="Q9" s="22">
        <v>0.375</v>
      </c>
      <c r="R9" s="19" t="s">
        <v>25</v>
      </c>
      <c r="S9" s="15" t="s">
        <v>26</v>
      </c>
      <c r="T9">
        <v>1</v>
      </c>
      <c r="U9">
        <v>0.6</v>
      </c>
      <c r="V9">
        <v>1</v>
      </c>
      <c r="W9">
        <v>1</v>
      </c>
    </row>
    <row r="10" spans="1:36" x14ac:dyDescent="0.25">
      <c r="B10" s="27" t="s">
        <v>38</v>
      </c>
      <c r="E10" s="15" t="s">
        <v>39</v>
      </c>
      <c r="F10" s="21">
        <v>46078</v>
      </c>
      <c r="G10" s="22">
        <v>0.44930555555555601</v>
      </c>
      <c r="H10" s="23">
        <f>I10 *Tabelle1[[#This Row],[Umgebungsdruck]]/101325*273.15/(Tabelle1[[#This Row],[Umgebungstemperatur]]+273.15)/0.7828</f>
        <v>1.0658263474128689</v>
      </c>
      <c r="I10" s="15">
        <f>Tabelle1[[#This Row],[Gasgeschwindigkeit]]*60</f>
        <v>0.89999999999999991</v>
      </c>
      <c r="J10" s="15">
        <v>1.4999999999999999E-2</v>
      </c>
      <c r="K10" s="15">
        <f>Tabelle1[[#This Row],[Flüssigkeitsgeschwindigkeit]]*60</f>
        <v>6</v>
      </c>
      <c r="L10" s="15">
        <v>0.1</v>
      </c>
      <c r="M10" s="15">
        <v>21.5</v>
      </c>
      <c r="N10" s="15">
        <v>101325</v>
      </c>
      <c r="O10" s="15">
        <v>0.8</v>
      </c>
      <c r="P10" s="15">
        <v>1</v>
      </c>
      <c r="Q10" s="22">
        <v>0.375</v>
      </c>
      <c r="R10" s="19" t="s">
        <v>25</v>
      </c>
      <c r="S10" s="15" t="s">
        <v>26</v>
      </c>
      <c r="T10">
        <v>1</v>
      </c>
      <c r="U10">
        <v>0.6</v>
      </c>
      <c r="V10">
        <v>1</v>
      </c>
      <c r="W10">
        <v>1</v>
      </c>
    </row>
    <row r="11" spans="1:36" x14ac:dyDescent="0.25">
      <c r="B11" s="27" t="s">
        <v>38</v>
      </c>
      <c r="E11" s="15" t="s">
        <v>40</v>
      </c>
      <c r="F11" s="21">
        <v>46078</v>
      </c>
      <c r="G11" s="22">
        <v>0.45138888888888901</v>
      </c>
      <c r="H11" s="23">
        <f>I11 *Tabelle1[[#This Row],[Umgebungsdruck]]/101325*273.15/(Tabelle1[[#This Row],[Umgebungstemperatur]]+273.15)/0.7828</f>
        <v>1.0658263474128689</v>
      </c>
      <c r="I11" s="15">
        <f>Tabelle1[[#This Row],[Gasgeschwindigkeit]]*60</f>
        <v>0.89999999999999991</v>
      </c>
      <c r="J11" s="15">
        <v>1.4999999999999999E-2</v>
      </c>
      <c r="K11" s="15">
        <f>Tabelle1[[#This Row],[Flüssigkeitsgeschwindigkeit]]*60</f>
        <v>3.5999999999999996</v>
      </c>
      <c r="L11" s="15">
        <v>0.06</v>
      </c>
      <c r="M11" s="15">
        <v>21.5</v>
      </c>
      <c r="N11" s="15">
        <v>101325</v>
      </c>
      <c r="O11" s="15">
        <v>0.8</v>
      </c>
      <c r="P11" s="15">
        <v>1</v>
      </c>
      <c r="Q11" s="22">
        <v>0.375</v>
      </c>
      <c r="R11" s="19" t="s">
        <v>25</v>
      </c>
      <c r="S11" s="15" t="s">
        <v>26</v>
      </c>
      <c r="T11">
        <v>1</v>
      </c>
      <c r="U11">
        <v>0.6</v>
      </c>
      <c r="V11">
        <v>1</v>
      </c>
      <c r="W11">
        <v>1</v>
      </c>
    </row>
    <row r="12" spans="1:36" x14ac:dyDescent="0.25">
      <c r="B12" s="25" t="s">
        <v>31</v>
      </c>
      <c r="E12" s="15" t="s">
        <v>41</v>
      </c>
      <c r="F12" s="21">
        <v>46078</v>
      </c>
      <c r="G12" s="22">
        <v>0.452777777777778</v>
      </c>
      <c r="H12" s="23">
        <f>I12 *Tabelle1[[#This Row],[Umgebungsdruck]]/101325*273.15/(Tabelle1[[#This Row],[Umgebungstemperatur]]+273.15)/0.7828</f>
        <v>1.0658263474128689</v>
      </c>
      <c r="I12" s="15">
        <f>Tabelle1[[#This Row],[Gasgeschwindigkeit]]*60</f>
        <v>0.89999999999999991</v>
      </c>
      <c r="J12" s="15">
        <v>1.4999999999999999E-2</v>
      </c>
      <c r="K12" s="15">
        <f>Tabelle1[[#This Row],[Flüssigkeitsgeschwindigkeit]]*60</f>
        <v>1.2</v>
      </c>
      <c r="L12" s="15">
        <v>0.02</v>
      </c>
      <c r="M12" s="15">
        <v>21.5</v>
      </c>
      <c r="N12" s="15">
        <v>101325</v>
      </c>
      <c r="O12" s="15">
        <v>0.8</v>
      </c>
      <c r="P12" s="15">
        <v>1</v>
      </c>
      <c r="Q12" s="22">
        <v>0.375</v>
      </c>
      <c r="R12" s="19" t="s">
        <v>25</v>
      </c>
      <c r="S12" s="15" t="s">
        <v>26</v>
      </c>
      <c r="T12">
        <v>1</v>
      </c>
      <c r="U12">
        <v>0.6</v>
      </c>
      <c r="V12">
        <v>1</v>
      </c>
      <c r="W12">
        <v>1</v>
      </c>
      <c r="AD12" s="15" t="s">
        <v>42</v>
      </c>
    </row>
    <row r="13" spans="1:36" x14ac:dyDescent="0.25">
      <c r="B13" s="26" t="s">
        <v>43</v>
      </c>
      <c r="E13" s="15" t="s">
        <v>44</v>
      </c>
      <c r="F13" s="21">
        <v>46078</v>
      </c>
      <c r="G13" s="22">
        <v>0.45972222222222198</v>
      </c>
      <c r="H13" s="23">
        <f>I13 *Tabelle1[[#This Row],[Umgebungsdruck]]/101325*273.15/(Tabelle1[[#This Row],[Umgebungstemperatur]]+273.15)/0.7828</f>
        <v>1.0658263474128689</v>
      </c>
      <c r="I13" s="15">
        <f>Tabelle1[[#This Row],[Gasgeschwindigkeit]]*60</f>
        <v>0.89999999999999991</v>
      </c>
      <c r="J13" s="15">
        <v>1.4999999999999999E-2</v>
      </c>
      <c r="K13" s="15">
        <f>Tabelle1[[#This Row],[Flüssigkeitsgeschwindigkeit]]*60</f>
        <v>0.48</v>
      </c>
      <c r="L13" s="15">
        <v>8.0000000000000002E-3</v>
      </c>
      <c r="M13" s="15">
        <v>21.5</v>
      </c>
      <c r="N13" s="15">
        <v>101325</v>
      </c>
      <c r="O13" s="15">
        <v>0.8</v>
      </c>
      <c r="P13" s="15">
        <v>1</v>
      </c>
      <c r="Q13" s="22">
        <v>0.375</v>
      </c>
      <c r="R13" s="19" t="s">
        <v>25</v>
      </c>
      <c r="S13" s="15" t="s">
        <v>26</v>
      </c>
      <c r="T13">
        <v>1</v>
      </c>
      <c r="U13">
        <v>0.6</v>
      </c>
      <c r="V13">
        <v>1</v>
      </c>
      <c r="W13">
        <v>1</v>
      </c>
      <c r="AD13" s="15" t="s">
        <v>45</v>
      </c>
    </row>
    <row r="14" spans="1:36" x14ac:dyDescent="0.25">
      <c r="B14" s="25" t="s">
        <v>31</v>
      </c>
      <c r="E14" s="15" t="s">
        <v>46</v>
      </c>
      <c r="F14" s="21">
        <v>46078</v>
      </c>
      <c r="G14" s="22">
        <v>0.46666666666666701</v>
      </c>
      <c r="H14" s="23">
        <f>I14 *Tabelle1[[#This Row],[Umgebungsdruck]]/101325*273.15/(Tabelle1[[#This Row],[Umgebungstemperatur]]+273.15)/0.7828</f>
        <v>0.10658263474128687</v>
      </c>
      <c r="I14" s="15">
        <f>Tabelle1[[#This Row],[Gasgeschwindigkeit]]*60</f>
        <v>0.09</v>
      </c>
      <c r="J14" s="15">
        <v>1.5E-3</v>
      </c>
      <c r="K14" s="15">
        <f>Tabelle1[[#This Row],[Flüssigkeitsgeschwindigkeit]]*60</f>
        <v>1.2</v>
      </c>
      <c r="L14" s="15">
        <v>0.02</v>
      </c>
      <c r="M14" s="15">
        <v>21.5</v>
      </c>
      <c r="N14" s="15">
        <v>101325</v>
      </c>
      <c r="O14" s="15">
        <v>0.8</v>
      </c>
      <c r="P14" s="15">
        <v>1</v>
      </c>
      <c r="Q14" s="22">
        <v>0.375</v>
      </c>
      <c r="R14" s="19" t="s">
        <v>25</v>
      </c>
      <c r="S14" s="15" t="s">
        <v>26</v>
      </c>
      <c r="T14">
        <v>1</v>
      </c>
      <c r="U14">
        <v>0.6</v>
      </c>
      <c r="V14">
        <v>1</v>
      </c>
      <c r="W14">
        <v>1</v>
      </c>
    </row>
    <row r="15" spans="1:36" x14ac:dyDescent="0.25">
      <c r="B15" s="26" t="s">
        <v>43</v>
      </c>
      <c r="E15" s="15" t="s">
        <v>47</v>
      </c>
      <c r="F15" s="21">
        <v>46078</v>
      </c>
      <c r="G15" s="22">
        <v>0.46319444444444402</v>
      </c>
      <c r="H15" s="23">
        <f>I15 *Tabelle1[[#This Row],[Umgebungsdruck]]/101325*273.15/(Tabelle1[[#This Row],[Umgebungstemperatur]]+273.15)/0.7828</f>
        <v>0.10658263474128687</v>
      </c>
      <c r="I15" s="15">
        <f>Tabelle1[[#This Row],[Gasgeschwindigkeit]]*60</f>
        <v>0.09</v>
      </c>
      <c r="J15" s="15">
        <v>1.5E-3</v>
      </c>
      <c r="K15" s="15">
        <f>Tabelle1[[#This Row],[Flüssigkeitsgeschwindigkeit]]*60</f>
        <v>0.48</v>
      </c>
      <c r="L15" s="15">
        <v>8.0000000000000002E-3</v>
      </c>
      <c r="M15" s="15">
        <v>21.5</v>
      </c>
      <c r="N15" s="15">
        <v>101325</v>
      </c>
      <c r="O15" s="15">
        <v>0.8</v>
      </c>
      <c r="P15" s="15">
        <v>1</v>
      </c>
      <c r="Q15" s="22">
        <v>0.375</v>
      </c>
      <c r="R15" s="19" t="s">
        <v>25</v>
      </c>
      <c r="S15" s="15" t="s">
        <v>26</v>
      </c>
      <c r="T15">
        <v>1</v>
      </c>
      <c r="U15">
        <v>0.6</v>
      </c>
      <c r="V15">
        <v>1</v>
      </c>
      <c r="W15">
        <v>1</v>
      </c>
      <c r="AD15" s="21">
        <v>46079</v>
      </c>
    </row>
    <row r="16" spans="1:36" x14ac:dyDescent="0.25">
      <c r="B16" s="20" t="s">
        <v>23</v>
      </c>
      <c r="E16" s="15" t="s">
        <v>48</v>
      </c>
      <c r="F16" s="21">
        <v>46078</v>
      </c>
      <c r="G16" s="22">
        <v>0.47152777777777799</v>
      </c>
      <c r="H16" s="23">
        <f>I16 *Tabelle1[[#This Row],[Umgebungsdruck]]/101325*273.15/(Tabelle1[[#This Row],[Umgebungstemperatur]]+273.15)/0.7828</f>
        <v>13.500467067229673</v>
      </c>
      <c r="I16" s="15">
        <f>Tabelle1[[#This Row],[Gasgeschwindigkeit]]*60</f>
        <v>11.4</v>
      </c>
      <c r="J16" s="15">
        <v>0.19</v>
      </c>
      <c r="K16" s="15">
        <f>Tabelle1[[#This Row],[Flüssigkeitsgeschwindigkeit]]*60</f>
        <v>9</v>
      </c>
      <c r="L16" s="15">
        <v>0.15</v>
      </c>
      <c r="M16" s="15">
        <v>21.5</v>
      </c>
      <c r="N16" s="15">
        <v>101325</v>
      </c>
      <c r="O16" s="15">
        <v>0.8</v>
      </c>
      <c r="P16" s="15">
        <v>1</v>
      </c>
      <c r="Q16" s="22">
        <v>0.375</v>
      </c>
      <c r="R16" s="19" t="s">
        <v>25</v>
      </c>
      <c r="S16" s="15" t="s">
        <v>26</v>
      </c>
      <c r="T16">
        <v>1</v>
      </c>
      <c r="U16">
        <v>0.6</v>
      </c>
      <c r="V16">
        <v>1</v>
      </c>
      <c r="W16">
        <v>1</v>
      </c>
      <c r="AD16" s="15" t="s">
        <v>49</v>
      </c>
      <c r="AH16" s="19" t="s">
        <v>50</v>
      </c>
      <c r="AJ16" s="19" t="s">
        <v>51</v>
      </c>
    </row>
    <row r="17" spans="2:23" x14ac:dyDescent="0.25">
      <c r="B17" s="24" t="s">
        <v>28</v>
      </c>
      <c r="E17" s="15" t="s">
        <v>52</v>
      </c>
      <c r="F17" s="21">
        <v>46078</v>
      </c>
      <c r="G17" s="22">
        <v>0.47430555555555598</v>
      </c>
      <c r="H17" s="23">
        <f>I17 *Tabelle1[[#This Row],[Umgebungsdruck]]/101325*273.15/(Tabelle1[[#This Row],[Umgebungstemperatur]]+273.15)/0.7828</f>
        <v>13.500467067229673</v>
      </c>
      <c r="I17" s="15">
        <f>Tabelle1[[#This Row],[Gasgeschwindigkeit]]*60</f>
        <v>11.4</v>
      </c>
      <c r="J17" s="15">
        <v>0.19</v>
      </c>
      <c r="K17" s="15">
        <f>Tabelle1[[#This Row],[Flüssigkeitsgeschwindigkeit]]*60</f>
        <v>6</v>
      </c>
      <c r="L17" s="15">
        <v>0.1</v>
      </c>
      <c r="M17" s="15">
        <v>21.5</v>
      </c>
      <c r="N17" s="15">
        <v>101325</v>
      </c>
      <c r="O17" s="15">
        <v>0.8</v>
      </c>
      <c r="P17" s="15">
        <v>1</v>
      </c>
      <c r="Q17" s="22">
        <v>0.375</v>
      </c>
      <c r="R17" s="19" t="s">
        <v>25</v>
      </c>
      <c r="S17" s="15" t="s">
        <v>26</v>
      </c>
      <c r="T17">
        <v>1</v>
      </c>
      <c r="U17">
        <v>0.6</v>
      </c>
      <c r="V17">
        <v>1</v>
      </c>
      <c r="W17">
        <v>1</v>
      </c>
    </row>
    <row r="18" spans="2:23" x14ac:dyDescent="0.25">
      <c r="B18" s="24" t="s">
        <v>28</v>
      </c>
      <c r="E18" s="15" t="s">
        <v>53</v>
      </c>
      <c r="F18" s="21">
        <v>46078</v>
      </c>
      <c r="G18" s="22">
        <v>0.47708333333333303</v>
      </c>
      <c r="H18" s="23">
        <f>I18 *Tabelle1[[#This Row],[Umgebungsdruck]]/101325*273.15/(Tabelle1[[#This Row],[Umgebungstemperatur]]+273.15)/0.7828</f>
        <v>13.500467067229673</v>
      </c>
      <c r="I18" s="15">
        <f>Tabelle1[[#This Row],[Gasgeschwindigkeit]]*60</f>
        <v>11.4</v>
      </c>
      <c r="J18" s="15">
        <v>0.19</v>
      </c>
      <c r="K18" s="15">
        <f>Tabelle1[[#This Row],[Flüssigkeitsgeschwindigkeit]]*60</f>
        <v>3.5999999999999996</v>
      </c>
      <c r="L18" s="15">
        <v>0.06</v>
      </c>
      <c r="M18" s="15">
        <v>21.5</v>
      </c>
      <c r="N18" s="15">
        <v>101325</v>
      </c>
      <c r="O18" s="15">
        <v>0.8</v>
      </c>
      <c r="P18" s="15">
        <v>1</v>
      </c>
      <c r="Q18" s="22">
        <v>0.375</v>
      </c>
      <c r="R18" s="19" t="s">
        <v>25</v>
      </c>
      <c r="S18" s="15" t="s">
        <v>26</v>
      </c>
      <c r="T18">
        <v>1</v>
      </c>
      <c r="U18">
        <v>0.6</v>
      </c>
      <c r="V18">
        <v>1</v>
      </c>
      <c r="W18">
        <v>1</v>
      </c>
    </row>
    <row r="19" spans="2:23" x14ac:dyDescent="0.25">
      <c r="B19" s="24" t="s">
        <v>28</v>
      </c>
      <c r="E19" s="15" t="s">
        <v>54</v>
      </c>
      <c r="F19" s="21">
        <v>46078</v>
      </c>
      <c r="G19" s="22">
        <v>0.47916666666666702</v>
      </c>
      <c r="H19" s="23">
        <f>I19 *Tabelle1[[#This Row],[Umgebungsdruck]]/101325*273.15/(Tabelle1[[#This Row],[Umgebungstemperatur]]+273.15)/0.7828</f>
        <v>13.500467067229673</v>
      </c>
      <c r="I19" s="15">
        <f>Tabelle1[[#This Row],[Gasgeschwindigkeit]]*60</f>
        <v>11.4</v>
      </c>
      <c r="J19" s="15">
        <v>0.19</v>
      </c>
      <c r="K19" s="15">
        <f>Tabelle1[[#This Row],[Flüssigkeitsgeschwindigkeit]]*60</f>
        <v>2.4</v>
      </c>
      <c r="L19" s="15">
        <v>0.04</v>
      </c>
      <c r="M19" s="15">
        <v>21.5</v>
      </c>
      <c r="N19" s="15">
        <v>101325</v>
      </c>
      <c r="O19" s="15">
        <v>0.8</v>
      </c>
      <c r="P19" s="15">
        <v>1</v>
      </c>
      <c r="Q19" s="22">
        <v>0.375</v>
      </c>
      <c r="R19" s="19" t="s">
        <v>25</v>
      </c>
      <c r="S19" s="15" t="s">
        <v>26</v>
      </c>
      <c r="T19">
        <v>1</v>
      </c>
      <c r="U19">
        <v>0.6</v>
      </c>
      <c r="V19">
        <v>1</v>
      </c>
      <c r="W19">
        <v>1</v>
      </c>
    </row>
    <row r="20" spans="2:23" x14ac:dyDescent="0.25">
      <c r="B20" s="24" t="s">
        <v>28</v>
      </c>
      <c r="E20" s="15" t="s">
        <v>55</v>
      </c>
      <c r="F20" s="21">
        <v>46078</v>
      </c>
      <c r="G20" s="22">
        <v>0.48263888888888901</v>
      </c>
      <c r="H20" s="23">
        <f>I20 *Tabelle1[[#This Row],[Umgebungsdruck]]/101325*273.15/(Tabelle1[[#This Row],[Umgebungstemperatur]]+273.15)/0.7828</f>
        <v>13.500467067229673</v>
      </c>
      <c r="I20" s="15">
        <f>Tabelle1[[#This Row],[Gasgeschwindigkeit]]*60</f>
        <v>11.4</v>
      </c>
      <c r="J20" s="15">
        <v>0.19</v>
      </c>
      <c r="K20" s="15">
        <f>Tabelle1[[#This Row],[Flüssigkeitsgeschwindigkeit]]*60</f>
        <v>1.2</v>
      </c>
      <c r="L20" s="15">
        <v>0.02</v>
      </c>
      <c r="M20" s="15">
        <v>21.5</v>
      </c>
      <c r="N20" s="15">
        <v>101325</v>
      </c>
      <c r="O20" s="15">
        <v>0.8</v>
      </c>
      <c r="P20" s="15">
        <v>1</v>
      </c>
      <c r="Q20" s="22">
        <v>0.375</v>
      </c>
      <c r="R20" s="19" t="s">
        <v>25</v>
      </c>
      <c r="S20" s="15" t="s">
        <v>26</v>
      </c>
      <c r="T20">
        <v>1</v>
      </c>
      <c r="U20">
        <v>0.6</v>
      </c>
      <c r="V20">
        <v>1</v>
      </c>
      <c r="W20">
        <v>1</v>
      </c>
    </row>
    <row r="21" spans="2:23" x14ac:dyDescent="0.25">
      <c r="B21" s="25" t="s">
        <v>31</v>
      </c>
      <c r="E21" s="15" t="s">
        <v>56</v>
      </c>
      <c r="F21" s="21">
        <v>46078</v>
      </c>
      <c r="G21" s="22">
        <v>0.48611111111111099</v>
      </c>
      <c r="H21" s="23">
        <f>I21 *Tabelle1[[#This Row],[Umgebungsdruck]]/101325*273.15/(Tabelle1[[#This Row],[Umgebungstemperatur]]+273.15)/0.7828</f>
        <v>13.500467067229673</v>
      </c>
      <c r="I21" s="15">
        <f>Tabelle1[[#This Row],[Gasgeschwindigkeit]]*60</f>
        <v>11.4</v>
      </c>
      <c r="J21" s="15">
        <v>0.19</v>
      </c>
      <c r="K21" s="15">
        <f>Tabelle1[[#This Row],[Flüssigkeitsgeschwindigkeit]]*60</f>
        <v>0.48</v>
      </c>
      <c r="L21" s="15">
        <v>8.0000000000000002E-3</v>
      </c>
      <c r="M21" s="15">
        <v>21.5</v>
      </c>
      <c r="N21" s="15">
        <v>101325</v>
      </c>
      <c r="O21" s="15">
        <v>0.8</v>
      </c>
      <c r="P21" s="15">
        <v>1</v>
      </c>
      <c r="Q21" s="22">
        <v>0.375</v>
      </c>
      <c r="R21" s="19" t="s">
        <v>25</v>
      </c>
      <c r="S21" s="15" t="s">
        <v>26</v>
      </c>
      <c r="T21">
        <v>1</v>
      </c>
      <c r="U21">
        <v>0.6</v>
      </c>
      <c r="V21">
        <v>1</v>
      </c>
      <c r="W21">
        <v>1</v>
      </c>
    </row>
    <row r="22" spans="2:23" x14ac:dyDescent="0.25">
      <c r="B22" s="20" t="s">
        <v>23</v>
      </c>
      <c r="E22" s="15" t="s">
        <v>57</v>
      </c>
      <c r="F22" s="21">
        <v>46078</v>
      </c>
      <c r="G22" s="22">
        <v>0.57291666666666696</v>
      </c>
      <c r="H22" s="23">
        <f>I22 *Tabelle1[[#This Row],[Umgebungsdruck]]/101325*273.15/(Tabelle1[[#This Row],[Umgebungstemperatur]]+273.15)/0.7828</f>
        <v>13.477596548735297</v>
      </c>
      <c r="I22" s="15">
        <f>Tabelle1[[#This Row],[Gasgeschwindigkeit]]*60</f>
        <v>11.4</v>
      </c>
      <c r="J22" s="15">
        <v>0.19</v>
      </c>
      <c r="K22" s="15">
        <f>Tabelle1[[#This Row],[Flüssigkeitsgeschwindigkeit]]*60</f>
        <v>10.200000000000001</v>
      </c>
      <c r="L22" s="15">
        <v>0.17</v>
      </c>
      <c r="M22" s="15">
        <v>22</v>
      </c>
      <c r="N22" s="15">
        <v>101325</v>
      </c>
      <c r="O22" s="15">
        <v>0.8</v>
      </c>
      <c r="P22" s="15">
        <v>1</v>
      </c>
      <c r="Q22" s="22">
        <v>0.375</v>
      </c>
      <c r="R22" s="19" t="s">
        <v>25</v>
      </c>
      <c r="S22" s="15" t="s">
        <v>26</v>
      </c>
      <c r="T22">
        <v>1</v>
      </c>
      <c r="U22">
        <v>0.6</v>
      </c>
      <c r="V22">
        <v>1</v>
      </c>
      <c r="W22">
        <v>1</v>
      </c>
    </row>
    <row r="23" spans="2:23" x14ac:dyDescent="0.25">
      <c r="B23" s="24" t="s">
        <v>28</v>
      </c>
      <c r="E23" s="15" t="s">
        <v>58</v>
      </c>
      <c r="F23" s="21">
        <v>46078</v>
      </c>
      <c r="G23" s="22">
        <v>0.62847222222222199</v>
      </c>
      <c r="H23" s="23">
        <f>I23 *Tabelle1[[#This Row],[Umgebungsdruck]]/101325*273.15/(Tabelle1[[#This Row],[Umgebungstemperatur]]+273.15)/0.7828</f>
        <v>10.629403732110401</v>
      </c>
      <c r="I23" s="15">
        <f>Tabelle1[[#This Row],[Gasgeschwindigkeit]]*60</f>
        <v>9</v>
      </c>
      <c r="J23" s="15">
        <v>0.15</v>
      </c>
      <c r="K23" s="15">
        <f>Tabelle1[[#This Row],[Flüssigkeitsgeschwindigkeit]]*60</f>
        <v>2.4</v>
      </c>
      <c r="L23" s="15">
        <v>0.04</v>
      </c>
      <c r="M23" s="15">
        <v>22.3</v>
      </c>
      <c r="N23" s="15">
        <v>101325</v>
      </c>
      <c r="O23" s="15">
        <v>0.8</v>
      </c>
      <c r="P23" s="15">
        <v>1</v>
      </c>
      <c r="Q23" s="22">
        <v>0.375</v>
      </c>
      <c r="R23" s="19" t="s">
        <v>25</v>
      </c>
      <c r="S23" s="15" t="s">
        <v>26</v>
      </c>
      <c r="T23">
        <v>1</v>
      </c>
      <c r="U23">
        <v>0.6</v>
      </c>
      <c r="V23">
        <v>1</v>
      </c>
      <c r="W23">
        <v>1</v>
      </c>
    </row>
    <row r="24" spans="2:23" x14ac:dyDescent="0.25">
      <c r="B24" s="20" t="s">
        <v>23</v>
      </c>
      <c r="E24" s="15" t="s">
        <v>59</v>
      </c>
      <c r="F24" s="21">
        <v>46078</v>
      </c>
      <c r="G24" s="22">
        <v>0.63333333333333297</v>
      </c>
      <c r="H24" s="23">
        <f>I24 *Tabelle1[[#This Row],[Umgebungsdruck]]/101325*273.15/(Tabelle1[[#This Row],[Umgebungstemperatur]]+273.15)/0.7828</f>
        <v>7.7948960702142935</v>
      </c>
      <c r="I24" s="15">
        <f>Tabelle1[[#This Row],[Gasgeschwindigkeit]]*60</f>
        <v>6.6</v>
      </c>
      <c r="J24" s="15">
        <v>0.11</v>
      </c>
      <c r="K24" s="15">
        <f>Tabelle1[[#This Row],[Flüssigkeitsgeschwindigkeit]]*60</f>
        <v>6</v>
      </c>
      <c r="L24" s="15">
        <v>0.1</v>
      </c>
      <c r="M24" s="15">
        <v>22.3</v>
      </c>
      <c r="N24" s="15">
        <v>101325</v>
      </c>
      <c r="O24" s="15">
        <v>0.8</v>
      </c>
      <c r="P24" s="15">
        <v>1</v>
      </c>
      <c r="Q24" s="22">
        <v>0.375</v>
      </c>
      <c r="R24" s="19" t="s">
        <v>25</v>
      </c>
      <c r="S24" s="15" t="s">
        <v>26</v>
      </c>
      <c r="T24">
        <v>1</v>
      </c>
      <c r="U24">
        <v>0.6</v>
      </c>
      <c r="V24">
        <v>1</v>
      </c>
      <c r="W24">
        <v>1</v>
      </c>
    </row>
    <row r="25" spans="2:23" x14ac:dyDescent="0.25">
      <c r="B25" s="20" t="s">
        <v>23</v>
      </c>
      <c r="E25" s="15" t="s">
        <v>60</v>
      </c>
      <c r="F25" s="21">
        <v>46078</v>
      </c>
      <c r="G25" s="22">
        <v>0.63749999999999996</v>
      </c>
      <c r="H25" s="23">
        <f>I25 *Tabelle1[[#This Row],[Umgebungsdruck]]/101325*273.15/(Tabelle1[[#This Row],[Umgebungstemperatur]]+273.15)/0.7828</f>
        <v>7.7948960702142935</v>
      </c>
      <c r="I25" s="15">
        <f>Tabelle1[[#This Row],[Gasgeschwindigkeit]]*60</f>
        <v>6.6</v>
      </c>
      <c r="J25" s="15">
        <v>0.11</v>
      </c>
      <c r="K25" s="15">
        <f>Tabelle1[[#This Row],[Flüssigkeitsgeschwindigkeit]]*60</f>
        <v>4.8</v>
      </c>
      <c r="L25" s="15">
        <v>0.08</v>
      </c>
      <c r="M25" s="15">
        <v>22.3</v>
      </c>
      <c r="N25" s="15">
        <v>101325</v>
      </c>
      <c r="O25" s="15">
        <v>0.8</v>
      </c>
      <c r="P25" s="15">
        <v>1</v>
      </c>
      <c r="Q25" s="22">
        <v>0.375</v>
      </c>
      <c r="R25" s="19" t="s">
        <v>25</v>
      </c>
      <c r="S25" s="15" t="s">
        <v>26</v>
      </c>
      <c r="T25">
        <v>1</v>
      </c>
      <c r="U25">
        <v>0.6</v>
      </c>
      <c r="V25">
        <v>1</v>
      </c>
      <c r="W25">
        <v>1</v>
      </c>
    </row>
    <row r="26" spans="2:23" x14ac:dyDescent="0.25">
      <c r="B26" s="24" t="s">
        <v>28</v>
      </c>
      <c r="E26" s="15" t="s">
        <v>61</v>
      </c>
      <c r="F26" s="21">
        <v>46078</v>
      </c>
      <c r="G26" s="22">
        <v>0.64097222222222205</v>
      </c>
      <c r="H26" s="23">
        <f>I26 *Tabelle1[[#This Row],[Umgebungsdruck]]/101325*273.15/(Tabelle1[[#This Row],[Umgebungstemperatur]]+273.15)/0.7828</f>
        <v>7.7948960702142935</v>
      </c>
      <c r="I26" s="15">
        <f>Tabelle1[[#This Row],[Gasgeschwindigkeit]]*60</f>
        <v>6.6</v>
      </c>
      <c r="J26" s="15">
        <v>0.11</v>
      </c>
      <c r="K26" s="15">
        <f>Tabelle1[[#This Row],[Flüssigkeitsgeschwindigkeit]]*60</f>
        <v>3.5999999999999996</v>
      </c>
      <c r="L26" s="15">
        <v>0.06</v>
      </c>
      <c r="M26" s="15">
        <v>22.3</v>
      </c>
      <c r="N26" s="15">
        <v>101325</v>
      </c>
      <c r="O26" s="15">
        <v>0.8</v>
      </c>
      <c r="P26" s="15">
        <v>1</v>
      </c>
      <c r="Q26" s="22">
        <v>0.375</v>
      </c>
      <c r="R26" s="19" t="s">
        <v>25</v>
      </c>
      <c r="S26" s="15" t="s">
        <v>26</v>
      </c>
      <c r="T26">
        <v>1</v>
      </c>
      <c r="U26">
        <v>0.6</v>
      </c>
      <c r="V26">
        <v>1</v>
      </c>
      <c r="W26">
        <v>1</v>
      </c>
    </row>
    <row r="27" spans="2:23" x14ac:dyDescent="0.25">
      <c r="B27" s="24" t="s">
        <v>28</v>
      </c>
      <c r="E27" s="15" t="s">
        <v>62</v>
      </c>
      <c r="F27" s="21">
        <v>46078</v>
      </c>
      <c r="G27" s="22">
        <v>0.64375000000000004</v>
      </c>
      <c r="H27" s="23">
        <f>I27 *Tabelle1[[#This Row],[Umgebungsdruck]]/101325*273.15/(Tabelle1[[#This Row],[Umgebungstemperatur]]+273.15)/0.7828</f>
        <v>7.7948960702142935</v>
      </c>
      <c r="I27" s="15">
        <f>Tabelle1[[#This Row],[Gasgeschwindigkeit]]*60</f>
        <v>6.6</v>
      </c>
      <c r="J27" s="15">
        <v>0.11</v>
      </c>
      <c r="K27" s="15">
        <f>Tabelle1[[#This Row],[Flüssigkeitsgeschwindigkeit]]*60</f>
        <v>2.4</v>
      </c>
      <c r="L27" s="15">
        <v>0.04</v>
      </c>
      <c r="M27" s="15">
        <v>22.3</v>
      </c>
      <c r="N27" s="15">
        <v>101325</v>
      </c>
      <c r="O27" s="15">
        <v>0.8</v>
      </c>
      <c r="P27" s="15">
        <v>1</v>
      </c>
      <c r="Q27" s="22">
        <v>0.375</v>
      </c>
      <c r="R27" s="19" t="s">
        <v>25</v>
      </c>
      <c r="S27" s="15" t="s">
        <v>26</v>
      </c>
      <c r="T27">
        <v>1</v>
      </c>
      <c r="U27">
        <v>0.6</v>
      </c>
      <c r="V27">
        <v>1</v>
      </c>
      <c r="W27">
        <v>1</v>
      </c>
    </row>
    <row r="28" spans="2:23" x14ac:dyDescent="0.25">
      <c r="B28" s="24" t="s">
        <v>28</v>
      </c>
      <c r="E28" s="15" t="s">
        <v>63</v>
      </c>
      <c r="F28" s="21">
        <v>46078</v>
      </c>
      <c r="G28" s="22">
        <v>0.64583333333333304</v>
      </c>
      <c r="H28" s="23">
        <f>I28 *Tabelle1[[#This Row],[Umgebungsdruck]]/101325*273.15/(Tabelle1[[#This Row],[Umgebungstemperatur]]+273.15)/0.7828</f>
        <v>7.7948960702142935</v>
      </c>
      <c r="I28" s="15">
        <f>Tabelle1[[#This Row],[Gasgeschwindigkeit]]*60</f>
        <v>6.6</v>
      </c>
      <c r="J28" s="15">
        <v>0.11</v>
      </c>
      <c r="K28" s="15">
        <f>Tabelle1[[#This Row],[Flüssigkeitsgeschwindigkeit]]*60</f>
        <v>1.2</v>
      </c>
      <c r="L28" s="15">
        <v>0.02</v>
      </c>
      <c r="M28" s="15">
        <v>22.3</v>
      </c>
      <c r="N28" s="15">
        <v>101325</v>
      </c>
      <c r="O28" s="15">
        <v>0.8</v>
      </c>
      <c r="P28" s="15">
        <v>1</v>
      </c>
      <c r="Q28" s="22">
        <v>0.375</v>
      </c>
      <c r="R28" s="19" t="s">
        <v>25</v>
      </c>
      <c r="S28" s="15" t="s">
        <v>26</v>
      </c>
      <c r="T28">
        <v>1</v>
      </c>
      <c r="U28">
        <v>0.6</v>
      </c>
      <c r="V28">
        <v>1</v>
      </c>
      <c r="W28">
        <v>1</v>
      </c>
    </row>
    <row r="29" spans="2:23" x14ac:dyDescent="0.25">
      <c r="B29" s="24" t="s">
        <v>28</v>
      </c>
      <c r="E29" s="15" t="s">
        <v>64</v>
      </c>
      <c r="F29" s="21">
        <v>46078</v>
      </c>
      <c r="G29" s="22">
        <v>0.65138888888888902</v>
      </c>
      <c r="H29" s="23">
        <f>I29 *Tabelle1[[#This Row],[Umgebungsdruck]]/101325*273.15/(Tabelle1[[#This Row],[Umgebungstemperatur]]+273.15)/0.7828</f>
        <v>10.633002649913724</v>
      </c>
      <c r="I29" s="15">
        <f>Tabelle1[[#This Row],[Gasgeschwindigkeit]]*60</f>
        <v>9</v>
      </c>
      <c r="J29" s="15">
        <v>0.15</v>
      </c>
      <c r="K29" s="15">
        <f>Tabelle1[[#This Row],[Flüssigkeitsgeschwindigkeit]]*60</f>
        <v>4.8</v>
      </c>
      <c r="L29" s="15">
        <v>0.08</v>
      </c>
      <c r="M29" s="15">
        <v>22.2</v>
      </c>
      <c r="N29" s="15">
        <v>101325</v>
      </c>
      <c r="O29" s="15">
        <v>0.8</v>
      </c>
      <c r="P29" s="15">
        <v>1</v>
      </c>
      <c r="Q29" s="22">
        <v>0.375</v>
      </c>
      <c r="R29" s="19" t="s">
        <v>25</v>
      </c>
      <c r="S29" s="15" t="s">
        <v>26</v>
      </c>
      <c r="T29">
        <v>1</v>
      </c>
      <c r="U29">
        <v>0.6</v>
      </c>
      <c r="V29">
        <v>1</v>
      </c>
      <c r="W29">
        <v>1</v>
      </c>
    </row>
    <row r="30" spans="2:23" x14ac:dyDescent="0.25">
      <c r="B30" s="20" t="s">
        <v>23</v>
      </c>
      <c r="E30" s="15" t="s">
        <v>65</v>
      </c>
      <c r="F30" s="21">
        <v>46078</v>
      </c>
      <c r="G30" s="22">
        <v>0.65277777777777801</v>
      </c>
      <c r="H30" s="23">
        <f>I30 *Tabelle1[[#This Row],[Umgebungsdruck]]/101325*273.15/(Tabelle1[[#This Row],[Umgebungstemperatur]]+273.15)/0.7828</f>
        <v>4.9620679032930717</v>
      </c>
      <c r="I30" s="15">
        <f>Tabelle1[[#This Row],[Gasgeschwindigkeit]]*60</f>
        <v>4.2</v>
      </c>
      <c r="J30" s="15">
        <v>7.0000000000000007E-2</v>
      </c>
      <c r="K30" s="15">
        <f>Tabelle1[[#This Row],[Flüssigkeitsgeschwindigkeit]]*60</f>
        <v>4.8</v>
      </c>
      <c r="L30" s="15">
        <v>0.08</v>
      </c>
      <c r="M30" s="15">
        <v>22.2</v>
      </c>
      <c r="N30" s="15">
        <v>101325</v>
      </c>
      <c r="O30" s="15">
        <v>0.8</v>
      </c>
      <c r="P30" s="15">
        <v>1</v>
      </c>
      <c r="Q30" s="22">
        <v>0.375</v>
      </c>
      <c r="R30" s="19" t="s">
        <v>25</v>
      </c>
      <c r="S30" s="15" t="s">
        <v>26</v>
      </c>
      <c r="T30">
        <v>1</v>
      </c>
      <c r="U30">
        <v>0.6</v>
      </c>
      <c r="V30">
        <v>1</v>
      </c>
      <c r="W30">
        <v>1</v>
      </c>
    </row>
    <row r="31" spans="2:23" x14ac:dyDescent="0.25">
      <c r="B31" s="24" t="s">
        <v>28</v>
      </c>
      <c r="E31" s="15" t="s">
        <v>66</v>
      </c>
      <c r="F31" s="21">
        <v>46078</v>
      </c>
      <c r="G31" s="22">
        <v>0.65486111111111101</v>
      </c>
      <c r="H31" s="23">
        <f>I31 *Tabelle1[[#This Row],[Umgebungsdruck]]/101325*273.15/(Tabelle1[[#This Row],[Umgebungstemperatur]]+273.15)/0.7828</f>
        <v>4.9620679032930717</v>
      </c>
      <c r="I31" s="15">
        <f>Tabelle1[[#This Row],[Gasgeschwindigkeit]]*60</f>
        <v>4.2</v>
      </c>
      <c r="J31" s="15">
        <v>7.0000000000000007E-2</v>
      </c>
      <c r="K31" s="15">
        <f>Tabelle1[[#This Row],[Flüssigkeitsgeschwindigkeit]]*60</f>
        <v>2.4</v>
      </c>
      <c r="L31" s="15">
        <v>0.04</v>
      </c>
      <c r="M31" s="15">
        <v>22.2</v>
      </c>
      <c r="N31" s="15">
        <v>101325</v>
      </c>
      <c r="O31" s="15">
        <v>0.8</v>
      </c>
      <c r="P31" s="15">
        <v>1</v>
      </c>
      <c r="Q31" s="22">
        <v>0.375</v>
      </c>
      <c r="R31" s="19" t="s">
        <v>25</v>
      </c>
      <c r="S31" s="15" t="s">
        <v>26</v>
      </c>
      <c r="T31">
        <v>1</v>
      </c>
      <c r="U31">
        <v>0.6</v>
      </c>
      <c r="V31">
        <v>1</v>
      </c>
      <c r="W31">
        <v>1</v>
      </c>
    </row>
    <row r="32" spans="2:23" x14ac:dyDescent="0.25">
      <c r="B32" s="25" t="s">
        <v>31</v>
      </c>
      <c r="E32" s="15" t="s">
        <v>67</v>
      </c>
      <c r="F32" s="21">
        <v>46078</v>
      </c>
      <c r="G32" s="22">
        <v>0.64791666666666703</v>
      </c>
      <c r="H32" s="23">
        <f>I32 *Tabelle1[[#This Row],[Umgebungsdruck]]/101325*273.15/(Tabelle1[[#This Row],[Umgebungstemperatur]]+273.15)/0.7828</f>
        <v>7.7975352766033961</v>
      </c>
      <c r="I32" s="15">
        <f>Tabelle1[[#This Row],[Gasgeschwindigkeit]]*60</f>
        <v>6.6</v>
      </c>
      <c r="J32" s="15">
        <v>0.11</v>
      </c>
      <c r="K32" s="15">
        <f>Tabelle1[[#This Row],[Flüssigkeitsgeschwindigkeit]]*60</f>
        <v>0.6</v>
      </c>
      <c r="L32" s="15">
        <v>0.01</v>
      </c>
      <c r="M32" s="15">
        <v>22.2</v>
      </c>
      <c r="N32" s="15">
        <v>101325</v>
      </c>
      <c r="O32" s="15">
        <v>0.8</v>
      </c>
      <c r="P32" s="15">
        <v>1</v>
      </c>
      <c r="Q32" s="22">
        <v>0.375</v>
      </c>
      <c r="R32" s="19" t="s">
        <v>25</v>
      </c>
      <c r="S32" s="15" t="s">
        <v>26</v>
      </c>
      <c r="T32">
        <v>1</v>
      </c>
      <c r="U32">
        <v>0.6</v>
      </c>
      <c r="V32">
        <v>1</v>
      </c>
      <c r="W32">
        <v>1</v>
      </c>
    </row>
    <row r="33" spans="1:44" x14ac:dyDescent="0.25">
      <c r="B33" s="24" t="s">
        <v>28</v>
      </c>
      <c r="E33" s="15" t="s">
        <v>68</v>
      </c>
      <c r="F33" s="21">
        <v>46079</v>
      </c>
      <c r="G33" s="22">
        <v>0.43958333333333299</v>
      </c>
      <c r="H33" s="23">
        <f>I33 *Tabelle1[[#This Row],[Umgebungsdruck]]/101325*273.15/(Tabelle1[[#This Row],[Umgebungstemperatur]]+273.15)/0.7828</f>
        <v>13.505050488403407</v>
      </c>
      <c r="I33" s="15">
        <f>Tabelle1[[#This Row],[Gasgeschwindigkeit]]*60</f>
        <v>11.4</v>
      </c>
      <c r="J33" s="15">
        <v>0.19</v>
      </c>
      <c r="K33" s="15">
        <f>Tabelle1[[#This Row],[Flüssigkeitsgeschwindigkeit]]*60</f>
        <v>4.8</v>
      </c>
      <c r="L33" s="15">
        <v>0.08</v>
      </c>
      <c r="M33" s="15">
        <v>21.4</v>
      </c>
      <c r="N33" s="15">
        <v>101325</v>
      </c>
      <c r="O33" s="15">
        <v>0.8</v>
      </c>
      <c r="P33" s="15">
        <v>1</v>
      </c>
      <c r="Q33" s="22">
        <v>0.39583333333333298</v>
      </c>
      <c r="R33" s="19" t="s">
        <v>25</v>
      </c>
      <c r="S33" s="15" t="s">
        <v>26</v>
      </c>
      <c r="T33">
        <v>1</v>
      </c>
      <c r="U33">
        <v>0.6</v>
      </c>
      <c r="V33">
        <v>1</v>
      </c>
      <c r="W33">
        <v>1</v>
      </c>
    </row>
    <row r="34" spans="1:44" x14ac:dyDescent="0.25">
      <c r="A34" t="s">
        <v>27</v>
      </c>
      <c r="E34" s="15" t="s">
        <v>29</v>
      </c>
      <c r="F34" s="21">
        <v>46079</v>
      </c>
      <c r="G34" s="22">
        <v>0.4</v>
      </c>
      <c r="H34" s="23">
        <f>I34 *Tabelle1[[#This Row],[Umgebungsdruck]]/101325*273.15/(Tabelle1[[#This Row],[Umgebungstemperatur]]+273.15)/0.7828</f>
        <v>10.676380529158655</v>
      </c>
      <c r="I34" s="15">
        <f>Tabelle1[[#This Row],[Gasgeschwindigkeit]]*60</f>
        <v>9</v>
      </c>
      <c r="J34" s="15">
        <v>0.15</v>
      </c>
      <c r="K34" s="15">
        <f>Tabelle1[[#This Row],[Flüssigkeitsgeschwindigkeit]]*60</f>
        <v>3.5999999999999996</v>
      </c>
      <c r="L34" s="15">
        <v>0.06</v>
      </c>
      <c r="M34" s="15">
        <v>21</v>
      </c>
      <c r="N34" s="15">
        <v>101325</v>
      </c>
      <c r="O34" s="15">
        <v>0.8</v>
      </c>
      <c r="P34" s="15">
        <v>1</v>
      </c>
      <c r="Q34" s="22">
        <v>0.375</v>
      </c>
      <c r="R34" s="19" t="s">
        <v>25</v>
      </c>
      <c r="S34" s="15" t="s">
        <v>26</v>
      </c>
      <c r="T34">
        <v>1</v>
      </c>
      <c r="U34">
        <v>0.6</v>
      </c>
      <c r="V34">
        <v>1</v>
      </c>
      <c r="W34">
        <v>1</v>
      </c>
    </row>
    <row r="35" spans="1:44" x14ac:dyDescent="0.25">
      <c r="A35" t="s">
        <v>27</v>
      </c>
      <c r="E35" s="15" t="s">
        <v>29</v>
      </c>
      <c r="F35" s="21">
        <v>46078</v>
      </c>
      <c r="G35" s="22">
        <v>0.59375</v>
      </c>
      <c r="H35" s="23">
        <f>I35 *Tabelle1[[#This Row],[Umgebungsdruck]]/101325*273.15/(Tabelle1[[#This Row],[Umgebungstemperatur]]+273.15)/0.7828</f>
        <v>10.63660400559532</v>
      </c>
      <c r="I35" s="15">
        <f>Tabelle1[[#This Row],[Gasgeschwindigkeit]]*60</f>
        <v>9</v>
      </c>
      <c r="J35" s="15">
        <v>0.15</v>
      </c>
      <c r="K35" s="15">
        <f>Tabelle1[[#This Row],[Flüssigkeitsgeschwindigkeit]]*60</f>
        <v>3.5999999999999996</v>
      </c>
      <c r="L35" s="15">
        <v>0.06</v>
      </c>
      <c r="M35" s="15">
        <v>22.1</v>
      </c>
      <c r="N35" s="15">
        <v>101325</v>
      </c>
      <c r="O35" s="15">
        <v>0.8</v>
      </c>
      <c r="P35" s="15">
        <v>1</v>
      </c>
      <c r="Q35" s="22">
        <v>0.375</v>
      </c>
      <c r="R35" s="19" t="s">
        <v>25</v>
      </c>
      <c r="S35" s="15" t="s">
        <v>26</v>
      </c>
      <c r="T35">
        <v>1</v>
      </c>
      <c r="U35">
        <v>0.6</v>
      </c>
      <c r="V35">
        <v>1</v>
      </c>
      <c r="W35">
        <v>1</v>
      </c>
    </row>
    <row r="36" spans="1:44" x14ac:dyDescent="0.25">
      <c r="B36" s="27" t="s">
        <v>38</v>
      </c>
      <c r="E36" s="15" t="s">
        <v>69</v>
      </c>
      <c r="F36" s="21">
        <v>46079</v>
      </c>
      <c r="G36" s="22">
        <v>0.45694444444444399</v>
      </c>
      <c r="H36" s="23">
        <f>I36 *Tabelle1[[#This Row],[Umgebungsdruck]]/101325*273.15/(Tabelle1[[#This Row],[Umgebungstemperatur]]+273.15)/0.7828</f>
        <v>13.500467067229673</v>
      </c>
      <c r="I36" s="15">
        <f>Tabelle1[[#This Row],[Gasgeschwindigkeit]]*60</f>
        <v>11.4</v>
      </c>
      <c r="J36" s="15">
        <v>0.19</v>
      </c>
      <c r="K36" s="15">
        <f>Tabelle1[[#This Row],[Flüssigkeitsgeschwindigkeit]]*60</f>
        <v>10.200000000000001</v>
      </c>
      <c r="L36" s="15">
        <v>0.17</v>
      </c>
      <c r="M36" s="15">
        <v>21.5</v>
      </c>
      <c r="N36" s="15">
        <v>101325</v>
      </c>
      <c r="O36" s="15">
        <v>0.8</v>
      </c>
      <c r="P36" s="15">
        <v>2</v>
      </c>
      <c r="Q36" s="22">
        <v>0.39583333333333298</v>
      </c>
      <c r="R36" s="19" t="s">
        <v>25</v>
      </c>
      <c r="S36" s="15" t="s">
        <v>26</v>
      </c>
      <c r="T36">
        <v>1</v>
      </c>
      <c r="U36">
        <v>0.6</v>
      </c>
      <c r="V36">
        <v>1</v>
      </c>
      <c r="W36">
        <v>1</v>
      </c>
    </row>
    <row r="37" spans="1:44" x14ac:dyDescent="0.25">
      <c r="B37" s="27" t="s">
        <v>38</v>
      </c>
      <c r="E37" s="15" t="s">
        <v>70</v>
      </c>
      <c r="F37" s="21">
        <v>46079</v>
      </c>
      <c r="G37" s="22">
        <v>0.46250000000000002</v>
      </c>
      <c r="H37" s="23">
        <f>I37 *Tabelle1[[#This Row],[Umgebungsdruck]]/101325*273.15/(Tabelle1[[#This Row],[Umgebungstemperatur]]+273.15)/0.7828</f>
        <v>13.500467067229673</v>
      </c>
      <c r="I37" s="15">
        <f>Tabelle1[[#This Row],[Gasgeschwindigkeit]]*60</f>
        <v>11.4</v>
      </c>
      <c r="J37" s="15">
        <v>0.19</v>
      </c>
      <c r="K37" s="15">
        <f>Tabelle1[[#This Row],[Flüssigkeitsgeschwindigkeit]]*60</f>
        <v>9</v>
      </c>
      <c r="L37" s="15">
        <v>0.15</v>
      </c>
      <c r="M37" s="15">
        <v>21.5</v>
      </c>
      <c r="N37" s="15">
        <v>101325</v>
      </c>
      <c r="O37" s="15">
        <v>0.8</v>
      </c>
      <c r="P37" s="15">
        <v>2</v>
      </c>
      <c r="Q37" s="22">
        <v>0.39583333333333298</v>
      </c>
      <c r="R37" s="19" t="s">
        <v>25</v>
      </c>
      <c r="S37" s="15" t="s">
        <v>26</v>
      </c>
      <c r="T37">
        <v>1</v>
      </c>
      <c r="U37">
        <v>0.6</v>
      </c>
      <c r="V37">
        <v>1</v>
      </c>
      <c r="W37">
        <v>1</v>
      </c>
    </row>
    <row r="38" spans="1:44" x14ac:dyDescent="0.25">
      <c r="B38" s="24" t="s">
        <v>28</v>
      </c>
      <c r="E38" s="15" t="s">
        <v>71</v>
      </c>
      <c r="F38" s="21">
        <v>46079</v>
      </c>
      <c r="G38" s="22">
        <v>0.47083333333333299</v>
      </c>
      <c r="H38" s="23">
        <f>I38 *Tabelle1[[#This Row],[Umgebungsdruck]]/101325*273.15/(Tabelle1[[#This Row],[Umgebungstemperatur]]+273.15)/0.7828</f>
        <v>13.500467067229673</v>
      </c>
      <c r="I38" s="15">
        <f>Tabelle1[[#This Row],[Gasgeschwindigkeit]]*60</f>
        <v>11.4</v>
      </c>
      <c r="J38" s="15">
        <v>0.19</v>
      </c>
      <c r="K38" s="15">
        <f>Tabelle1[[#This Row],[Flüssigkeitsgeschwindigkeit]]*60</f>
        <v>6</v>
      </c>
      <c r="L38" s="15">
        <v>0.1</v>
      </c>
      <c r="M38" s="15">
        <v>21.5</v>
      </c>
      <c r="N38" s="15">
        <v>101325</v>
      </c>
      <c r="O38" s="15">
        <v>0.8</v>
      </c>
      <c r="P38" s="15">
        <v>2</v>
      </c>
      <c r="Q38" s="22">
        <v>0.39583333333333298</v>
      </c>
      <c r="R38" s="19" t="s">
        <v>25</v>
      </c>
      <c r="S38" s="15" t="s">
        <v>26</v>
      </c>
      <c r="T38">
        <v>1</v>
      </c>
      <c r="U38">
        <v>0.6</v>
      </c>
      <c r="V38">
        <v>1</v>
      </c>
      <c r="W38">
        <v>1</v>
      </c>
    </row>
    <row r="39" spans="1:44" x14ac:dyDescent="0.25">
      <c r="B39" s="24" t="s">
        <v>28</v>
      </c>
      <c r="E39" s="15" t="s">
        <v>72</v>
      </c>
      <c r="F39" s="21">
        <v>46079</v>
      </c>
      <c r="G39" s="22">
        <v>0.53472222222222199</v>
      </c>
      <c r="H39" s="23">
        <f>I39 *Tabelle1[[#This Row],[Umgebungsdruck]]/101325*273.15/(Tabelle1[[#This Row],[Umgebungstemperatur]]+273.15)/0.7828</f>
        <v>13.500467067229673</v>
      </c>
      <c r="I39" s="15">
        <f>Tabelle1[[#This Row],[Gasgeschwindigkeit]]*60</f>
        <v>11.4</v>
      </c>
      <c r="J39" s="15">
        <v>0.19</v>
      </c>
      <c r="K39" s="15">
        <f>Tabelle1[[#This Row],[Flüssigkeitsgeschwindigkeit]]*60</f>
        <v>4.8</v>
      </c>
      <c r="L39" s="15">
        <v>0.08</v>
      </c>
      <c r="M39" s="15">
        <v>21.5</v>
      </c>
      <c r="N39" s="15">
        <v>101325</v>
      </c>
      <c r="O39" s="15">
        <v>0.8</v>
      </c>
      <c r="P39" s="15">
        <v>2</v>
      </c>
      <c r="Q39" s="22">
        <v>0.39583333333333298</v>
      </c>
      <c r="R39" s="19" t="s">
        <v>25</v>
      </c>
      <c r="S39" s="15" t="s">
        <v>26</v>
      </c>
      <c r="T39">
        <v>1</v>
      </c>
      <c r="U39">
        <v>0.6</v>
      </c>
      <c r="V39">
        <v>1</v>
      </c>
      <c r="W39">
        <v>1</v>
      </c>
    </row>
    <row r="40" spans="1:44" x14ac:dyDescent="0.25">
      <c r="B40" s="24" t="s">
        <v>28</v>
      </c>
      <c r="E40" s="15" t="s">
        <v>73</v>
      </c>
      <c r="F40" s="21">
        <v>46079</v>
      </c>
      <c r="G40" s="22">
        <v>0.53819444444444398</v>
      </c>
      <c r="H40" s="23">
        <f>I40 *Tabelle1[[#This Row],[Umgebungsdruck]]/101325*273.15/(Tabelle1[[#This Row],[Umgebungstemperatur]]+273.15)/0.7828</f>
        <v>13.500467067229673</v>
      </c>
      <c r="I40" s="15">
        <f>Tabelle1[[#This Row],[Gasgeschwindigkeit]]*60</f>
        <v>11.4</v>
      </c>
      <c r="J40" s="15">
        <v>0.19</v>
      </c>
      <c r="K40" s="15">
        <f>Tabelle1[[#This Row],[Flüssigkeitsgeschwindigkeit]]*60</f>
        <v>3.5999999999999996</v>
      </c>
      <c r="L40" s="15">
        <v>0.06</v>
      </c>
      <c r="M40" s="15">
        <v>21.5</v>
      </c>
      <c r="N40" s="15">
        <v>101325</v>
      </c>
      <c r="O40" s="15">
        <v>0.8</v>
      </c>
      <c r="P40" s="15">
        <v>2</v>
      </c>
      <c r="Q40" s="22">
        <v>0.39583333333333298</v>
      </c>
      <c r="R40" s="19" t="s">
        <v>25</v>
      </c>
      <c r="S40" s="15" t="s">
        <v>26</v>
      </c>
      <c r="T40">
        <v>1</v>
      </c>
      <c r="U40">
        <v>0.6</v>
      </c>
      <c r="V40">
        <v>1</v>
      </c>
      <c r="W40">
        <v>1</v>
      </c>
    </row>
    <row r="41" spans="1:44" x14ac:dyDescent="0.25">
      <c r="B41" s="24" t="s">
        <v>28</v>
      </c>
      <c r="E41" s="15" t="s">
        <v>74</v>
      </c>
      <c r="F41" s="21">
        <v>46079</v>
      </c>
      <c r="G41" s="22">
        <v>0.54166666666666696</v>
      </c>
      <c r="H41" s="23">
        <f>I41 *Tabelle1[[#This Row],[Umgebungsdruck]]/101325*273.15/(Tabelle1[[#This Row],[Umgebungstemperatur]]+273.15)/0.7828</f>
        <v>13.500467067229673</v>
      </c>
      <c r="I41" s="15">
        <f>Tabelle1[[#This Row],[Gasgeschwindigkeit]]*60</f>
        <v>11.4</v>
      </c>
      <c r="J41" s="15">
        <v>0.19</v>
      </c>
      <c r="K41" s="15">
        <f>Tabelle1[[#This Row],[Flüssigkeitsgeschwindigkeit]]*60</f>
        <v>2.4</v>
      </c>
      <c r="L41" s="15">
        <v>0.04</v>
      </c>
      <c r="M41" s="15">
        <v>21.5</v>
      </c>
      <c r="N41" s="15">
        <v>101325</v>
      </c>
      <c r="O41" s="15">
        <v>0.8</v>
      </c>
      <c r="P41" s="15">
        <v>2</v>
      </c>
      <c r="Q41" s="22">
        <v>0.39583333333333298</v>
      </c>
      <c r="R41" s="19" t="s">
        <v>25</v>
      </c>
      <c r="S41" s="15" t="s">
        <v>26</v>
      </c>
      <c r="T41">
        <v>1</v>
      </c>
      <c r="U41">
        <v>0.6</v>
      </c>
      <c r="V41">
        <v>1</v>
      </c>
      <c r="W41">
        <v>1</v>
      </c>
    </row>
    <row r="42" spans="1:44" x14ac:dyDescent="0.25">
      <c r="B42" s="25" t="s">
        <v>31</v>
      </c>
      <c r="E42" s="15" t="s">
        <v>75</v>
      </c>
      <c r="F42" s="21">
        <v>46079</v>
      </c>
      <c r="G42" s="22">
        <v>0.54444444444444395</v>
      </c>
      <c r="H42" s="23">
        <f>I42 *Tabelle1[[#This Row],[Umgebungsdruck]]/101325*273.15/(Tabelle1[[#This Row],[Umgebungstemperatur]]+273.15)/0.7828</f>
        <v>13.500467067229673</v>
      </c>
      <c r="I42" s="15">
        <f>Tabelle1[[#This Row],[Gasgeschwindigkeit]]*60</f>
        <v>11.4</v>
      </c>
      <c r="J42" s="15">
        <v>0.19</v>
      </c>
      <c r="K42" s="15">
        <f>Tabelle1[[#This Row],[Flüssigkeitsgeschwindigkeit]]*60</f>
        <v>1.2</v>
      </c>
      <c r="L42" s="15">
        <v>0.02</v>
      </c>
      <c r="M42" s="15">
        <v>21.5</v>
      </c>
      <c r="N42" s="15">
        <v>101325</v>
      </c>
      <c r="O42" s="15">
        <v>0.8</v>
      </c>
      <c r="P42" s="15">
        <v>2</v>
      </c>
      <c r="Q42" s="22">
        <v>0.39583333333333298</v>
      </c>
      <c r="R42" s="19" t="s">
        <v>25</v>
      </c>
      <c r="S42" s="15" t="s">
        <v>26</v>
      </c>
      <c r="T42">
        <v>1</v>
      </c>
      <c r="U42">
        <v>0.6</v>
      </c>
      <c r="V42">
        <v>1</v>
      </c>
      <c r="W42">
        <v>1</v>
      </c>
    </row>
    <row r="43" spans="1:44" x14ac:dyDescent="0.25">
      <c r="B43" s="27" t="s">
        <v>38</v>
      </c>
      <c r="E43" s="15" t="s">
        <v>76</v>
      </c>
      <c r="F43" s="21">
        <v>46079</v>
      </c>
      <c r="G43" s="22">
        <v>0.54791666666666705</v>
      </c>
      <c r="H43" s="23">
        <f>I43 *Tabelle1[[#This Row],[Umgebungsdruck]]/101325*273.15/(Tabelle1[[#This Row],[Umgebungstemperatur]]+273.15)/0.7828</f>
        <v>10.651033856713646</v>
      </c>
      <c r="I43" s="15">
        <f>Tabelle1[[#This Row],[Gasgeschwindigkeit]]*60</f>
        <v>9</v>
      </c>
      <c r="J43" s="15">
        <v>0.15</v>
      </c>
      <c r="K43" s="15">
        <f>Tabelle1[[#This Row],[Flüssigkeitsgeschwindigkeit]]*60</f>
        <v>6</v>
      </c>
      <c r="L43" s="15">
        <v>0.1</v>
      </c>
      <c r="M43" s="15">
        <v>21.7</v>
      </c>
      <c r="N43" s="15">
        <v>101325</v>
      </c>
      <c r="O43" s="15">
        <v>0.8</v>
      </c>
      <c r="P43" s="15">
        <v>2</v>
      </c>
      <c r="Q43" s="22">
        <v>0.39583333333333298</v>
      </c>
      <c r="R43" s="19" t="s">
        <v>25</v>
      </c>
      <c r="S43" s="15" t="s">
        <v>26</v>
      </c>
      <c r="T43">
        <v>1</v>
      </c>
      <c r="U43">
        <v>0.6</v>
      </c>
      <c r="V43">
        <v>1</v>
      </c>
      <c r="W43">
        <v>1</v>
      </c>
    </row>
    <row r="44" spans="1:44" x14ac:dyDescent="0.25">
      <c r="B44" s="20" t="s">
        <v>23</v>
      </c>
      <c r="E44" s="15" t="s">
        <v>77</v>
      </c>
      <c r="F44" s="21">
        <v>46079</v>
      </c>
      <c r="G44" s="22">
        <v>0.55000000000000004</v>
      </c>
      <c r="H44" s="23">
        <f>I44 *Tabelle1[[#This Row],[Umgebungsdruck]]/101325*273.15/(Tabelle1[[#This Row],[Umgebungstemperatur]]+273.15)/0.7828</f>
        <v>10.651033856713646</v>
      </c>
      <c r="I44" s="15">
        <f>Tabelle1[[#This Row],[Gasgeschwindigkeit]]*60</f>
        <v>9</v>
      </c>
      <c r="J44" s="15">
        <v>0.15</v>
      </c>
      <c r="K44" s="15">
        <f>Tabelle1[[#This Row],[Flüssigkeitsgeschwindigkeit]]*60</f>
        <v>4.8</v>
      </c>
      <c r="L44" s="15">
        <v>0.08</v>
      </c>
      <c r="M44" s="15">
        <v>21.7</v>
      </c>
      <c r="N44" s="15">
        <v>101325</v>
      </c>
      <c r="O44" s="15">
        <v>0.8</v>
      </c>
      <c r="P44" s="15">
        <v>2</v>
      </c>
      <c r="Q44" s="22">
        <v>0.39583333333333298</v>
      </c>
      <c r="R44" s="19" t="s">
        <v>25</v>
      </c>
      <c r="S44" s="15" t="s">
        <v>26</v>
      </c>
      <c r="T44">
        <v>1</v>
      </c>
      <c r="U44">
        <v>0.6</v>
      </c>
      <c r="V44">
        <v>1</v>
      </c>
      <c r="W44">
        <v>1</v>
      </c>
      <c r="AK44" s="19" t="s">
        <v>38</v>
      </c>
      <c r="AN44" s="19" t="s">
        <v>28</v>
      </c>
      <c r="AQ44" s="19" t="s">
        <v>78</v>
      </c>
    </row>
    <row r="45" spans="1:44" x14ac:dyDescent="0.25">
      <c r="B45" s="24" t="s">
        <v>28</v>
      </c>
      <c r="E45" s="15" t="s">
        <v>79</v>
      </c>
      <c r="F45" s="21">
        <v>46079</v>
      </c>
      <c r="G45" s="22">
        <v>0.55208333333333304</v>
      </c>
      <c r="H45" s="23">
        <f>I45 *Tabelle1[[#This Row],[Umgebungsdruck]]/101325*273.15/(Tabelle1[[#This Row],[Umgebungstemperatur]]+273.15)/0.7828</f>
        <v>10.651033856713646</v>
      </c>
      <c r="I45" s="15">
        <f>Tabelle1[[#This Row],[Gasgeschwindigkeit]]*60</f>
        <v>9</v>
      </c>
      <c r="J45" s="15">
        <v>0.15</v>
      </c>
      <c r="K45" s="15">
        <f>Tabelle1[[#This Row],[Flüssigkeitsgeschwindigkeit]]*60</f>
        <v>3.5999999999999996</v>
      </c>
      <c r="L45" s="15">
        <v>0.06</v>
      </c>
      <c r="M45" s="15">
        <v>21.7</v>
      </c>
      <c r="N45" s="15">
        <v>101325</v>
      </c>
      <c r="O45" s="15">
        <v>0.8</v>
      </c>
      <c r="P45" s="15">
        <v>2</v>
      </c>
      <c r="Q45" s="22">
        <v>0.39583333333333298</v>
      </c>
      <c r="R45" s="19" t="s">
        <v>25</v>
      </c>
      <c r="S45" s="15" t="s">
        <v>26</v>
      </c>
      <c r="T45">
        <v>1</v>
      </c>
      <c r="U45">
        <v>0.6</v>
      </c>
      <c r="V45">
        <v>1</v>
      </c>
      <c r="W45">
        <v>1</v>
      </c>
      <c r="AK45" s="28">
        <v>1.4999999999999999E-2</v>
      </c>
      <c r="AL45" s="28">
        <v>0.1</v>
      </c>
      <c r="AN45" s="29">
        <v>0.15</v>
      </c>
      <c r="AO45" s="29">
        <v>0.06</v>
      </c>
      <c r="AQ45" s="28">
        <v>0.15</v>
      </c>
      <c r="AR45" s="28">
        <v>0.1</v>
      </c>
    </row>
    <row r="46" spans="1:44" x14ac:dyDescent="0.25">
      <c r="B46" s="24" t="s">
        <v>28</v>
      </c>
      <c r="E46" s="15" t="s">
        <v>80</v>
      </c>
      <c r="F46" s="21">
        <v>46079</v>
      </c>
      <c r="G46" s="22">
        <v>0.55416666666666703</v>
      </c>
      <c r="H46" s="23">
        <f>I46 *Tabelle1[[#This Row],[Umgebungsdruck]]/101325*273.15/(Tabelle1[[#This Row],[Umgebungstemperatur]]+273.15)/0.7828</f>
        <v>10.651033856713646</v>
      </c>
      <c r="I46" s="15">
        <f>Tabelle1[[#This Row],[Gasgeschwindigkeit]]*60</f>
        <v>9</v>
      </c>
      <c r="J46" s="15">
        <v>0.15</v>
      </c>
      <c r="K46" s="15">
        <f>Tabelle1[[#This Row],[Flüssigkeitsgeschwindigkeit]]*60</f>
        <v>2.4</v>
      </c>
      <c r="L46" s="15">
        <v>0.04</v>
      </c>
      <c r="M46" s="15">
        <v>21.7</v>
      </c>
      <c r="N46" s="15">
        <v>101325</v>
      </c>
      <c r="O46" s="15">
        <v>0.8</v>
      </c>
      <c r="P46" s="15">
        <v>2</v>
      </c>
      <c r="Q46" s="22">
        <v>0.39583333333333298</v>
      </c>
      <c r="R46" s="19" t="s">
        <v>25</v>
      </c>
      <c r="S46" s="15" t="s">
        <v>26</v>
      </c>
      <c r="T46">
        <v>1</v>
      </c>
      <c r="U46">
        <v>0.6</v>
      </c>
      <c r="V46">
        <v>1</v>
      </c>
      <c r="W46">
        <v>1</v>
      </c>
      <c r="AK46" s="29">
        <v>1.4999999999999999E-2</v>
      </c>
      <c r="AL46" s="29">
        <v>0.06</v>
      </c>
      <c r="AN46" s="28">
        <v>0.15</v>
      </c>
      <c r="AO46" s="28">
        <v>0.02</v>
      </c>
      <c r="AQ46" s="28">
        <v>7.0000000000000007E-2</v>
      </c>
      <c r="AR46" s="28">
        <v>0.1</v>
      </c>
    </row>
    <row r="47" spans="1:44" x14ac:dyDescent="0.25">
      <c r="B47" s="24" t="s">
        <v>28</v>
      </c>
      <c r="E47" s="15" t="s">
        <v>81</v>
      </c>
      <c r="F47" s="21">
        <v>46079</v>
      </c>
      <c r="G47" s="22">
        <v>0.55555555555555602</v>
      </c>
      <c r="H47" s="23">
        <f>I47 *Tabelle1[[#This Row],[Umgebungsdruck]]/101325*273.15/(Tabelle1[[#This Row],[Umgebungstemperatur]]+273.15)/0.7828</f>
        <v>10.651033856713646</v>
      </c>
      <c r="I47" s="15">
        <f>Tabelle1[[#This Row],[Gasgeschwindigkeit]]*60</f>
        <v>9</v>
      </c>
      <c r="J47" s="15">
        <v>0.15</v>
      </c>
      <c r="K47" s="15">
        <f>Tabelle1[[#This Row],[Flüssigkeitsgeschwindigkeit]]*60</f>
        <v>1.2</v>
      </c>
      <c r="L47" s="15">
        <v>0.02</v>
      </c>
      <c r="M47" s="15">
        <v>21.7</v>
      </c>
      <c r="N47" s="15">
        <v>101325</v>
      </c>
      <c r="O47" s="15">
        <v>0.8</v>
      </c>
      <c r="P47" s="15">
        <v>2</v>
      </c>
      <c r="Q47" s="22">
        <v>0.39583333333333298</v>
      </c>
      <c r="R47" s="19" t="s">
        <v>25</v>
      </c>
      <c r="S47" s="15" t="s">
        <v>26</v>
      </c>
      <c r="T47">
        <v>1</v>
      </c>
      <c r="U47">
        <v>0.6</v>
      </c>
      <c r="V47">
        <v>1</v>
      </c>
      <c r="W47">
        <v>1</v>
      </c>
      <c r="AQ47" s="28">
        <v>0.19</v>
      </c>
      <c r="AR47" s="28">
        <v>0.17</v>
      </c>
    </row>
    <row r="48" spans="1:44" x14ac:dyDescent="0.25">
      <c r="B48" s="27" t="s">
        <v>38</v>
      </c>
      <c r="E48" s="15" t="s">
        <v>82</v>
      </c>
      <c r="F48" s="21">
        <v>46079</v>
      </c>
      <c r="G48" s="22">
        <v>0.55972222222222201</v>
      </c>
      <c r="H48" s="23">
        <f>I48 *Tabelle1[[#This Row],[Umgebungsdruck]]/101325*273.15/(Tabelle1[[#This Row],[Umgebungstemperatur]]+273.15)/0.7828</f>
        <v>7.8107581615900061</v>
      </c>
      <c r="I48" s="15">
        <f>Tabelle1[[#This Row],[Gasgeschwindigkeit]]*60</f>
        <v>6.6</v>
      </c>
      <c r="J48" s="15">
        <v>0.11</v>
      </c>
      <c r="K48" s="15">
        <f>Tabelle1[[#This Row],[Flüssigkeitsgeschwindigkeit]]*60</f>
        <v>6</v>
      </c>
      <c r="L48" s="15">
        <v>0.1</v>
      </c>
      <c r="M48" s="15">
        <v>21.7</v>
      </c>
      <c r="N48" s="15">
        <v>101325</v>
      </c>
      <c r="O48" s="15">
        <v>0.8</v>
      </c>
      <c r="P48" s="15">
        <v>2</v>
      </c>
      <c r="Q48" s="22">
        <v>0.39583333333333298</v>
      </c>
      <c r="R48" s="19" t="s">
        <v>25</v>
      </c>
      <c r="S48" s="15" t="s">
        <v>26</v>
      </c>
      <c r="T48">
        <v>1</v>
      </c>
      <c r="U48">
        <v>0.6</v>
      </c>
      <c r="V48">
        <v>1</v>
      </c>
      <c r="W48">
        <v>1</v>
      </c>
      <c r="AN48" s="28"/>
      <c r="AO48" s="28"/>
      <c r="AQ48" s="28">
        <v>0.11</v>
      </c>
      <c r="AR48" s="28">
        <v>0.1</v>
      </c>
    </row>
    <row r="49" spans="2:48" x14ac:dyDescent="0.25">
      <c r="B49" s="27" t="s">
        <v>38</v>
      </c>
      <c r="E49" s="15" t="s">
        <v>83</v>
      </c>
      <c r="F49" s="21">
        <v>46079</v>
      </c>
      <c r="G49" s="22">
        <v>0.561805555555556</v>
      </c>
      <c r="H49" s="23">
        <f>I49 *Tabelle1[[#This Row],[Umgebungsdruck]]/101325*273.15/(Tabelle1[[#This Row],[Umgebungstemperatur]]+273.15)/0.7828</f>
        <v>7.8107581615900061</v>
      </c>
      <c r="I49" s="15">
        <f>Tabelle1[[#This Row],[Gasgeschwindigkeit]]*60</f>
        <v>6.6</v>
      </c>
      <c r="J49" s="15">
        <v>0.11</v>
      </c>
      <c r="K49" s="15">
        <f>Tabelle1[[#This Row],[Flüssigkeitsgeschwindigkeit]]*60</f>
        <v>4.8</v>
      </c>
      <c r="L49" s="15">
        <v>0.08</v>
      </c>
      <c r="M49" s="15">
        <v>21.7</v>
      </c>
      <c r="N49" s="15">
        <v>101325</v>
      </c>
      <c r="O49" s="15">
        <v>0.8</v>
      </c>
      <c r="P49" s="15">
        <v>2</v>
      </c>
      <c r="Q49" s="22">
        <v>0.39583333333333298</v>
      </c>
      <c r="R49" s="19" t="s">
        <v>25</v>
      </c>
      <c r="S49" s="15" t="s">
        <v>26</v>
      </c>
      <c r="T49">
        <v>1</v>
      </c>
      <c r="U49">
        <v>0.6</v>
      </c>
      <c r="V49">
        <v>1</v>
      </c>
      <c r="W49">
        <v>1</v>
      </c>
      <c r="AN49" s="28"/>
      <c r="AO49" s="28"/>
      <c r="AQ49" s="28">
        <v>7.0000000000000007E-2</v>
      </c>
      <c r="AR49" s="28">
        <v>0.08</v>
      </c>
    </row>
    <row r="50" spans="2:48" x14ac:dyDescent="0.25">
      <c r="B50" s="20" t="s">
        <v>23</v>
      </c>
      <c r="E50" s="15" t="s">
        <v>84</v>
      </c>
      <c r="F50" s="21">
        <v>46079</v>
      </c>
      <c r="G50" s="22">
        <v>0.56458333333333299</v>
      </c>
      <c r="H50" s="23">
        <f>I50 *Tabelle1[[#This Row],[Umgebungsdruck]]/101325*273.15/(Tabelle1[[#This Row],[Umgebungstemperatur]]+273.15)/0.7828</f>
        <v>7.8107581615900061</v>
      </c>
      <c r="I50" s="15">
        <f>Tabelle1[[#This Row],[Gasgeschwindigkeit]]*60</f>
        <v>6.6</v>
      </c>
      <c r="J50" s="15">
        <v>0.11</v>
      </c>
      <c r="K50" s="15">
        <f>Tabelle1[[#This Row],[Flüssigkeitsgeschwindigkeit]]*60</f>
        <v>3.5999999999999996</v>
      </c>
      <c r="L50" s="15">
        <v>0.06</v>
      </c>
      <c r="M50" s="15">
        <v>21.7</v>
      </c>
      <c r="N50" s="15">
        <v>101325</v>
      </c>
      <c r="O50" s="15">
        <v>0.8</v>
      </c>
      <c r="P50" s="15">
        <v>2</v>
      </c>
      <c r="Q50" s="22">
        <v>0.39583333333333298</v>
      </c>
      <c r="R50" s="19" t="s">
        <v>25</v>
      </c>
      <c r="S50" s="15" t="s">
        <v>26</v>
      </c>
      <c r="T50">
        <v>1</v>
      </c>
      <c r="U50">
        <v>0.6</v>
      </c>
      <c r="V50">
        <v>1</v>
      </c>
      <c r="W50">
        <v>1</v>
      </c>
      <c r="AN50" s="29">
        <v>0.19</v>
      </c>
      <c r="AO50" s="29">
        <v>0.1</v>
      </c>
      <c r="AQ50" s="28">
        <v>0.19</v>
      </c>
      <c r="AR50" s="28">
        <v>0.15</v>
      </c>
    </row>
    <row r="51" spans="2:48" x14ac:dyDescent="0.25">
      <c r="B51" s="24" t="s">
        <v>28</v>
      </c>
      <c r="E51" s="15" t="s">
        <v>85</v>
      </c>
      <c r="F51" s="21">
        <v>46079</v>
      </c>
      <c r="G51" s="22">
        <v>0.56666666666666698</v>
      </c>
      <c r="H51" s="23">
        <f>I51 *Tabelle1[[#This Row],[Umgebungsdruck]]/101325*273.15/(Tabelle1[[#This Row],[Umgebungstemperatur]]+273.15)/0.7828</f>
        <v>7.8107581615900061</v>
      </c>
      <c r="I51" s="15">
        <f>Tabelle1[[#This Row],[Gasgeschwindigkeit]]*60</f>
        <v>6.6</v>
      </c>
      <c r="J51" s="15">
        <v>0.11</v>
      </c>
      <c r="K51" s="15">
        <f>Tabelle1[[#This Row],[Flüssigkeitsgeschwindigkeit]]*60</f>
        <v>2.4</v>
      </c>
      <c r="L51" s="15">
        <v>0.04</v>
      </c>
      <c r="M51" s="15">
        <v>21.7</v>
      </c>
      <c r="N51" s="15">
        <v>101325</v>
      </c>
      <c r="O51" s="15">
        <v>0.8</v>
      </c>
      <c r="P51" s="15">
        <v>2</v>
      </c>
      <c r="Q51" s="22">
        <v>0.39583333333333298</v>
      </c>
      <c r="R51" s="19" t="s">
        <v>25</v>
      </c>
      <c r="S51" s="15" t="s">
        <v>26</v>
      </c>
      <c r="T51">
        <v>1</v>
      </c>
      <c r="U51">
        <v>0.6</v>
      </c>
      <c r="V51">
        <v>1</v>
      </c>
      <c r="W51">
        <v>1</v>
      </c>
      <c r="AN51" s="28">
        <v>0.19</v>
      </c>
      <c r="AO51" s="28">
        <v>0.06</v>
      </c>
      <c r="AQ51" s="29">
        <v>0.11</v>
      </c>
      <c r="AR51" s="29">
        <v>0.08</v>
      </c>
      <c r="AU51" s="19" t="s">
        <v>86</v>
      </c>
    </row>
    <row r="52" spans="2:48" x14ac:dyDescent="0.25">
      <c r="B52" s="24" t="s">
        <v>28</v>
      </c>
      <c r="E52" s="15" t="s">
        <v>87</v>
      </c>
      <c r="F52" s="21">
        <v>46079</v>
      </c>
      <c r="G52" s="22">
        <v>0.56944444444444398</v>
      </c>
      <c r="H52" s="23">
        <f>I52 *Tabelle1[[#This Row],[Umgebungsdruck]]/101325*273.15/(Tabelle1[[#This Row],[Umgebungstemperatur]]+273.15)/0.7828</f>
        <v>7.8107581615900061</v>
      </c>
      <c r="I52" s="15">
        <f>Tabelle1[[#This Row],[Gasgeschwindigkeit]]*60</f>
        <v>6.6</v>
      </c>
      <c r="J52" s="15">
        <v>0.11</v>
      </c>
      <c r="K52" s="15">
        <f>Tabelle1[[#This Row],[Flüssigkeitsgeschwindigkeit]]*60</f>
        <v>1.2</v>
      </c>
      <c r="L52" s="15">
        <v>0.02</v>
      </c>
      <c r="M52" s="15">
        <v>21.7</v>
      </c>
      <c r="N52" s="15">
        <v>101325</v>
      </c>
      <c r="O52" s="15">
        <v>0.8</v>
      </c>
      <c r="P52" s="15">
        <v>2</v>
      </c>
      <c r="Q52" s="22">
        <v>0.39583333333333298</v>
      </c>
      <c r="R52" s="19" t="s">
        <v>25</v>
      </c>
      <c r="S52" s="15" t="s">
        <v>26</v>
      </c>
      <c r="T52">
        <v>1</v>
      </c>
      <c r="U52">
        <v>0.6</v>
      </c>
      <c r="V52">
        <v>1</v>
      </c>
      <c r="W52">
        <v>1</v>
      </c>
      <c r="AN52" s="29">
        <v>0.19</v>
      </c>
      <c r="AO52" s="29">
        <v>0.04</v>
      </c>
      <c r="AQ52" s="29">
        <v>7.0000000000000007E-2</v>
      </c>
      <c r="AR52" s="29">
        <v>0.06</v>
      </c>
      <c r="AU52" s="29">
        <v>1.4999999999999999E-2</v>
      </c>
      <c r="AV52" s="29">
        <v>8.0000000000000002E-3</v>
      </c>
    </row>
    <row r="53" spans="2:48" x14ac:dyDescent="0.25">
      <c r="B53" s="27" t="s">
        <v>38</v>
      </c>
      <c r="E53" s="15" t="s">
        <v>88</v>
      </c>
      <c r="F53" s="21">
        <v>46079</v>
      </c>
      <c r="G53" s="22">
        <v>0.57291666666666696</v>
      </c>
      <c r="H53" s="23">
        <f>I53 *Tabelle1[[#This Row],[Umgebungsdruck]]/101325*273.15/(Tabelle1[[#This Row],[Umgebungstemperatur]]+273.15)/0.7828</f>
        <v>4.9687972715294402</v>
      </c>
      <c r="I53" s="15">
        <f>Tabelle1[[#This Row],[Gasgeschwindigkeit]]*60</f>
        <v>4.2</v>
      </c>
      <c r="J53" s="15">
        <v>7.0000000000000007E-2</v>
      </c>
      <c r="K53" s="15">
        <f>Tabelle1[[#This Row],[Flüssigkeitsgeschwindigkeit]]*60</f>
        <v>6</v>
      </c>
      <c r="L53" s="15">
        <v>0.1</v>
      </c>
      <c r="M53" s="15">
        <v>21.8</v>
      </c>
      <c r="N53" s="15">
        <v>101325</v>
      </c>
      <c r="O53" s="15">
        <v>0.8</v>
      </c>
      <c r="P53" s="15">
        <v>2</v>
      </c>
      <c r="Q53" s="22">
        <v>0.39583333333333298</v>
      </c>
      <c r="R53" s="19" t="s">
        <v>25</v>
      </c>
      <c r="S53" s="15" t="s">
        <v>26</v>
      </c>
      <c r="T53">
        <v>1</v>
      </c>
      <c r="U53">
        <v>0.6</v>
      </c>
      <c r="V53">
        <v>1</v>
      </c>
      <c r="W53">
        <v>1</v>
      </c>
      <c r="AN53" s="28">
        <v>0.19</v>
      </c>
      <c r="AO53" s="28">
        <v>0.02</v>
      </c>
      <c r="AU53" s="29">
        <v>1.5E-3</v>
      </c>
      <c r="AV53" s="29">
        <v>8.0000000000000002E-3</v>
      </c>
    </row>
    <row r="54" spans="2:48" x14ac:dyDescent="0.25">
      <c r="B54" s="27" t="s">
        <v>38</v>
      </c>
      <c r="E54" s="15" t="s">
        <v>89</v>
      </c>
      <c r="F54" s="21">
        <v>46079</v>
      </c>
      <c r="G54" s="22">
        <v>0.57499999999999996</v>
      </c>
      <c r="H54" s="23">
        <f>I54 *Tabelle1[[#This Row],[Umgebungsdruck]]/101325*273.15/(Tabelle1[[#This Row],[Umgebungstemperatur]]+273.15)/0.7828</f>
        <v>4.9687972715294402</v>
      </c>
      <c r="I54" s="15">
        <f>Tabelle1[[#This Row],[Gasgeschwindigkeit]]*60</f>
        <v>4.2</v>
      </c>
      <c r="J54" s="15">
        <v>7.0000000000000007E-2</v>
      </c>
      <c r="K54" s="15">
        <f>Tabelle1[[#This Row],[Flüssigkeitsgeschwindigkeit]]*60</f>
        <v>4.8</v>
      </c>
      <c r="L54" s="15">
        <v>0.08</v>
      </c>
      <c r="M54" s="15">
        <v>21.8</v>
      </c>
      <c r="N54" s="15">
        <v>101325</v>
      </c>
      <c r="O54" s="15">
        <v>0.8</v>
      </c>
      <c r="P54" s="15">
        <v>2</v>
      </c>
      <c r="Q54" s="22">
        <v>0.39583333333333298</v>
      </c>
      <c r="R54" s="19" t="s">
        <v>25</v>
      </c>
      <c r="S54" s="15" t="s">
        <v>26</v>
      </c>
      <c r="T54">
        <v>1</v>
      </c>
      <c r="U54">
        <v>0.6</v>
      </c>
      <c r="V54">
        <v>1</v>
      </c>
      <c r="W54">
        <v>1</v>
      </c>
    </row>
    <row r="55" spans="2:48" x14ac:dyDescent="0.25">
      <c r="B55" s="27" t="s">
        <v>38</v>
      </c>
      <c r="E55" s="15" t="s">
        <v>90</v>
      </c>
      <c r="F55" s="21">
        <v>46079</v>
      </c>
      <c r="G55" s="22">
        <v>0.57638888888888895</v>
      </c>
      <c r="H55" s="23">
        <f>I55 *Tabelle1[[#This Row],[Umgebungsdruck]]/101325*273.15/(Tabelle1[[#This Row],[Umgebungstemperatur]]+273.15)/0.7828</f>
        <v>4.9687972715294402</v>
      </c>
      <c r="I55" s="15">
        <f>Tabelle1[[#This Row],[Gasgeschwindigkeit]]*60</f>
        <v>4.2</v>
      </c>
      <c r="J55" s="15">
        <v>7.0000000000000007E-2</v>
      </c>
      <c r="K55" s="15">
        <f>Tabelle1[[#This Row],[Flüssigkeitsgeschwindigkeit]]*60</f>
        <v>3.5999999999999996</v>
      </c>
      <c r="L55" s="15">
        <v>0.06</v>
      </c>
      <c r="M55" s="15">
        <v>21.8</v>
      </c>
      <c r="N55" s="15">
        <v>101325</v>
      </c>
      <c r="O55" s="15">
        <v>0.8</v>
      </c>
      <c r="P55" s="15">
        <v>2</v>
      </c>
      <c r="Q55" s="22">
        <v>0.39583333333333298</v>
      </c>
      <c r="R55" s="19" t="s">
        <v>25</v>
      </c>
      <c r="S55" s="15" t="s">
        <v>26</v>
      </c>
      <c r="T55">
        <v>1</v>
      </c>
      <c r="U55">
        <v>0.6</v>
      </c>
      <c r="V55">
        <v>1</v>
      </c>
      <c r="W55">
        <v>1</v>
      </c>
      <c r="AN55" s="28">
        <v>0.11</v>
      </c>
      <c r="AO55" s="28">
        <v>0.06</v>
      </c>
    </row>
    <row r="56" spans="2:48" x14ac:dyDescent="0.25">
      <c r="B56" s="20" t="s">
        <v>23</v>
      </c>
      <c r="E56" s="15" t="s">
        <v>91</v>
      </c>
      <c r="F56" s="21">
        <v>46079</v>
      </c>
      <c r="G56" s="22">
        <v>0.57986111111111105</v>
      </c>
      <c r="H56" s="23">
        <f>I56 *Tabelle1[[#This Row],[Umgebungsdruck]]/101325*273.15/(Tabelle1[[#This Row],[Umgebungstemperatur]]+273.15)/0.7828</f>
        <v>4.9687972715294402</v>
      </c>
      <c r="I56" s="15">
        <f>Tabelle1[[#This Row],[Gasgeschwindigkeit]]*60</f>
        <v>4.2</v>
      </c>
      <c r="J56" s="15">
        <v>7.0000000000000007E-2</v>
      </c>
      <c r="K56" s="15">
        <f>Tabelle1[[#This Row],[Flüssigkeitsgeschwindigkeit]]*60</f>
        <v>2.4</v>
      </c>
      <c r="L56" s="15">
        <v>0.04</v>
      </c>
      <c r="M56" s="15">
        <v>21.8</v>
      </c>
      <c r="N56" s="15">
        <v>101325</v>
      </c>
      <c r="O56" s="15">
        <v>0.8</v>
      </c>
      <c r="P56" s="15">
        <v>2</v>
      </c>
      <c r="Q56" s="22">
        <v>0.39583333333333298</v>
      </c>
      <c r="R56" s="19" t="s">
        <v>25</v>
      </c>
      <c r="S56" s="15" t="s">
        <v>26</v>
      </c>
      <c r="T56">
        <v>1</v>
      </c>
      <c r="U56">
        <v>0.6</v>
      </c>
      <c r="V56">
        <v>1</v>
      </c>
      <c r="W56">
        <v>1</v>
      </c>
      <c r="AN56" s="29">
        <v>0.11</v>
      </c>
      <c r="AO56" s="29">
        <v>0.04</v>
      </c>
    </row>
    <row r="57" spans="2:48" x14ac:dyDescent="0.25">
      <c r="B57" s="20" t="s">
        <v>23</v>
      </c>
      <c r="E57" s="15" t="s">
        <v>92</v>
      </c>
      <c r="F57" s="21">
        <v>46079</v>
      </c>
      <c r="G57" s="22">
        <v>0.61875000000000002</v>
      </c>
      <c r="H57" s="23">
        <f>I57 *Tabelle1[[#This Row],[Umgebungsdruck]]/101325*273.15/(Tabelle1[[#This Row],[Umgebungstemperatur]]+273.15)/0.7828</f>
        <v>13.482164451310704</v>
      </c>
      <c r="I57" s="15">
        <f>Tabelle1[[#This Row],[Gasgeschwindigkeit]]*60</f>
        <v>11.4</v>
      </c>
      <c r="J57" s="15">
        <v>0.19</v>
      </c>
      <c r="K57" s="15">
        <f>Tabelle1[[#This Row],[Flüssigkeitsgeschwindigkeit]]*60</f>
        <v>6</v>
      </c>
      <c r="L57" s="15">
        <v>0.1</v>
      </c>
      <c r="M57" s="15">
        <v>21.9</v>
      </c>
      <c r="N57" s="15">
        <v>101325</v>
      </c>
      <c r="O57" s="15">
        <v>0.8</v>
      </c>
      <c r="P57" s="15">
        <v>3</v>
      </c>
      <c r="Q57" s="22">
        <v>0.39583333333333298</v>
      </c>
      <c r="R57" s="19" t="s">
        <v>25</v>
      </c>
      <c r="S57" s="15" t="s">
        <v>26</v>
      </c>
      <c r="T57">
        <v>1</v>
      </c>
      <c r="U57">
        <v>0.6</v>
      </c>
      <c r="V57">
        <v>1</v>
      </c>
      <c r="W57">
        <v>1</v>
      </c>
      <c r="AN57" s="28">
        <v>0.11</v>
      </c>
      <c r="AO57" s="28">
        <v>0.02</v>
      </c>
    </row>
    <row r="58" spans="2:48" x14ac:dyDescent="0.25">
      <c r="B58" s="24" t="s">
        <v>28</v>
      </c>
      <c r="E58" s="15" t="s">
        <v>93</v>
      </c>
      <c r="F58" s="21">
        <v>46079</v>
      </c>
      <c r="G58" s="22">
        <v>0.62361111111111101</v>
      </c>
      <c r="H58" s="23">
        <f>I58 *Tabelle1[[#This Row],[Umgebungsdruck]]/101325*273.15/(Tabelle1[[#This Row],[Umgebungstemperatur]]+273.15)/0.7828</f>
        <v>13.482164451310704</v>
      </c>
      <c r="I58" s="15">
        <f>Tabelle1[[#This Row],[Gasgeschwindigkeit]]*60</f>
        <v>11.4</v>
      </c>
      <c r="J58" s="15">
        <v>0.19</v>
      </c>
      <c r="K58" s="15">
        <f>Tabelle1[[#This Row],[Flüssigkeitsgeschwindigkeit]]*60</f>
        <v>4.8</v>
      </c>
      <c r="L58" s="15">
        <v>0.08</v>
      </c>
      <c r="M58" s="15">
        <v>21.9</v>
      </c>
      <c r="N58" s="15">
        <v>101325</v>
      </c>
      <c r="O58" s="15">
        <v>0.8</v>
      </c>
      <c r="P58" s="15">
        <v>3</v>
      </c>
      <c r="Q58" s="22">
        <v>0.39583333333333298</v>
      </c>
      <c r="R58" s="19" t="s">
        <v>25</v>
      </c>
      <c r="S58" s="15" t="s">
        <v>26</v>
      </c>
      <c r="T58">
        <v>1</v>
      </c>
      <c r="U58">
        <v>0.6</v>
      </c>
      <c r="V58">
        <v>1</v>
      </c>
      <c r="W58">
        <v>1</v>
      </c>
      <c r="AN58" s="29">
        <v>0.15</v>
      </c>
      <c r="AO58" s="29">
        <v>0.08</v>
      </c>
    </row>
    <row r="59" spans="2:48" x14ac:dyDescent="0.25">
      <c r="B59" s="24" t="s">
        <v>28</v>
      </c>
      <c r="E59" s="15" t="s">
        <v>94</v>
      </c>
      <c r="F59" s="21">
        <v>46079</v>
      </c>
      <c r="G59" s="22">
        <v>0.62708333333333299</v>
      </c>
      <c r="H59" s="23">
        <f>I59 *Tabelle1[[#This Row],[Umgebungsdruck]]/101325*273.15/(Tabelle1[[#This Row],[Umgebungstemperatur]]+273.15)/0.7828</f>
        <v>13.482164451310704</v>
      </c>
      <c r="I59" s="15">
        <f>Tabelle1[[#This Row],[Gasgeschwindigkeit]]*60</f>
        <v>11.4</v>
      </c>
      <c r="J59" s="15">
        <v>0.19</v>
      </c>
      <c r="K59" s="15">
        <f>Tabelle1[[#This Row],[Flüssigkeitsgeschwindigkeit]]*60</f>
        <v>3.5999999999999996</v>
      </c>
      <c r="L59" s="15">
        <v>0.06</v>
      </c>
      <c r="M59" s="15">
        <v>21.9</v>
      </c>
      <c r="N59" s="15">
        <v>101325</v>
      </c>
      <c r="O59" s="15">
        <v>0.8</v>
      </c>
      <c r="P59" s="15">
        <v>3</v>
      </c>
      <c r="Q59" s="22">
        <v>0.39583333333333298</v>
      </c>
      <c r="R59" s="19" t="s">
        <v>25</v>
      </c>
      <c r="S59" s="15" t="s">
        <v>26</v>
      </c>
      <c r="T59">
        <v>1</v>
      </c>
      <c r="U59">
        <v>0.6</v>
      </c>
      <c r="V59">
        <v>1</v>
      </c>
      <c r="W59">
        <v>1</v>
      </c>
      <c r="AN59" s="29">
        <v>7.0000000000000007E-2</v>
      </c>
      <c r="AO59" s="29">
        <v>0.04</v>
      </c>
      <c r="AQ59" s="19" t="s">
        <v>95</v>
      </c>
    </row>
    <row r="60" spans="2:48" x14ac:dyDescent="0.25">
      <c r="B60" s="24" t="s">
        <v>28</v>
      </c>
      <c r="E60" s="15" t="s">
        <v>96</v>
      </c>
      <c r="F60" s="21">
        <v>46079</v>
      </c>
      <c r="G60" s="22">
        <v>0.63194444444444398</v>
      </c>
      <c r="H60" s="23">
        <f>I60 *Tabelle1[[#This Row],[Umgebungsdruck]]/101325*273.15/(Tabelle1[[#This Row],[Umgebungstemperatur]]+273.15)/0.7828</f>
        <v>13.482164451310704</v>
      </c>
      <c r="I60" s="15">
        <f>Tabelle1[[#This Row],[Gasgeschwindigkeit]]*60</f>
        <v>11.4</v>
      </c>
      <c r="J60" s="15">
        <v>0.19</v>
      </c>
      <c r="K60" s="15">
        <f>Tabelle1[[#This Row],[Flüssigkeitsgeschwindigkeit]]*60</f>
        <v>2.4</v>
      </c>
      <c r="L60" s="15">
        <v>0.04</v>
      </c>
      <c r="M60" s="15">
        <v>21.9</v>
      </c>
      <c r="N60" s="15">
        <v>101325</v>
      </c>
      <c r="O60" s="15">
        <v>0.8</v>
      </c>
      <c r="P60" s="15">
        <v>3</v>
      </c>
      <c r="Q60" s="22">
        <v>0.39583333333333298</v>
      </c>
      <c r="R60" s="19" t="s">
        <v>25</v>
      </c>
      <c r="S60" s="15" t="s">
        <v>26</v>
      </c>
      <c r="T60">
        <v>1</v>
      </c>
      <c r="U60">
        <v>0.6</v>
      </c>
      <c r="V60">
        <v>1</v>
      </c>
      <c r="W60">
        <v>1</v>
      </c>
      <c r="AN60" s="29">
        <v>0.15</v>
      </c>
      <c r="AO60" s="29">
        <v>0.04</v>
      </c>
      <c r="AQ60" s="28">
        <v>1.4999999999999999E-2</v>
      </c>
      <c r="AR60" s="28">
        <v>0.02</v>
      </c>
    </row>
    <row r="61" spans="2:48" x14ac:dyDescent="0.25">
      <c r="B61" s="25" t="s">
        <v>31</v>
      </c>
      <c r="E61" s="15" t="s">
        <v>97</v>
      </c>
      <c r="F61" s="21">
        <v>46079</v>
      </c>
      <c r="G61" s="22">
        <v>0.63402777777777797</v>
      </c>
      <c r="H61" s="23">
        <f>I61 *Tabelle1[[#This Row],[Umgebungsdruck]]/101325*273.15/(Tabelle1[[#This Row],[Umgebungstemperatur]]+273.15)/0.7828</f>
        <v>13.482164451310704</v>
      </c>
      <c r="I61" s="15">
        <f>Tabelle1[[#This Row],[Gasgeschwindigkeit]]*60</f>
        <v>11.4</v>
      </c>
      <c r="J61" s="15">
        <v>0.19</v>
      </c>
      <c r="K61" s="15">
        <f>Tabelle1[[#This Row],[Flüssigkeitsgeschwindigkeit]]*60</f>
        <v>1.2</v>
      </c>
      <c r="L61" s="15">
        <v>0.02</v>
      </c>
      <c r="M61" s="15">
        <v>21.9</v>
      </c>
      <c r="N61" s="15">
        <v>101325</v>
      </c>
      <c r="O61" s="15">
        <v>0.8</v>
      </c>
      <c r="P61" s="15">
        <v>3</v>
      </c>
      <c r="Q61" s="22">
        <v>0.39583333333333298</v>
      </c>
      <c r="R61" s="19" t="s">
        <v>25</v>
      </c>
      <c r="S61" s="15" t="s">
        <v>26</v>
      </c>
      <c r="T61">
        <v>1</v>
      </c>
      <c r="U61">
        <v>0.6</v>
      </c>
      <c r="V61">
        <v>1</v>
      </c>
      <c r="W61">
        <v>1</v>
      </c>
      <c r="AN61" s="29">
        <v>0.19</v>
      </c>
      <c r="AO61" s="29">
        <v>0.08</v>
      </c>
      <c r="AQ61" s="28"/>
      <c r="AR61" s="28"/>
    </row>
    <row r="62" spans="2:48" x14ac:dyDescent="0.25">
      <c r="B62" s="27" t="s">
        <v>38</v>
      </c>
      <c r="E62" s="15" t="s">
        <v>98</v>
      </c>
      <c r="F62" s="21">
        <v>46079</v>
      </c>
      <c r="G62" s="22">
        <v>0.63611111111111096</v>
      </c>
      <c r="H62" s="23">
        <f>I62 *Tabelle1[[#This Row],[Umgebungsdruck]]/101325*273.15/(Tabelle1[[#This Row],[Umgebungstemperatur]]+273.15)/0.7828</f>
        <v>10.643814040508451</v>
      </c>
      <c r="I62" s="15">
        <f>Tabelle1[[#This Row],[Gasgeschwindigkeit]]*60</f>
        <v>9</v>
      </c>
      <c r="J62" s="15">
        <v>0.15</v>
      </c>
      <c r="K62" s="15">
        <f>Tabelle1[[#This Row],[Flüssigkeitsgeschwindigkeit]]*60</f>
        <v>4.8</v>
      </c>
      <c r="L62" s="15">
        <v>0.08</v>
      </c>
      <c r="M62" s="15">
        <v>21.9</v>
      </c>
      <c r="N62" s="15">
        <v>101325</v>
      </c>
      <c r="O62" s="15">
        <v>0.8</v>
      </c>
      <c r="P62" s="15">
        <v>3</v>
      </c>
      <c r="Q62" s="22">
        <v>0.39583333333333298</v>
      </c>
      <c r="R62" s="19" t="s">
        <v>25</v>
      </c>
      <c r="S62" s="15" t="s">
        <v>26</v>
      </c>
      <c r="T62">
        <v>1</v>
      </c>
      <c r="U62">
        <v>0.6</v>
      </c>
      <c r="V62">
        <v>1</v>
      </c>
      <c r="W62">
        <v>1</v>
      </c>
      <c r="AN62" s="29"/>
      <c r="AO62" s="29"/>
      <c r="AQ62" s="28"/>
      <c r="AR62" s="28"/>
    </row>
    <row r="63" spans="2:48" x14ac:dyDescent="0.25">
      <c r="B63" s="24" t="s">
        <v>28</v>
      </c>
      <c r="E63" s="15" t="s">
        <v>99</v>
      </c>
      <c r="F63" s="21">
        <v>46079</v>
      </c>
      <c r="G63" s="22">
        <v>0.63749999999999996</v>
      </c>
      <c r="H63" s="23">
        <f>I63 *Tabelle1[[#This Row],[Umgebungsdruck]]/101325*273.15/(Tabelle1[[#This Row],[Umgebungstemperatur]]+273.15)/0.7828</f>
        <v>10.643814040508451</v>
      </c>
      <c r="I63" s="15">
        <f>Tabelle1[[#This Row],[Gasgeschwindigkeit]]*60</f>
        <v>9</v>
      </c>
      <c r="J63" s="15">
        <v>0.15</v>
      </c>
      <c r="K63" s="15">
        <f>Tabelle1[[#This Row],[Flüssigkeitsgeschwindigkeit]]*60</f>
        <v>3.5999999999999996</v>
      </c>
      <c r="L63" s="15">
        <v>0.06</v>
      </c>
      <c r="M63" s="15">
        <v>21.9</v>
      </c>
      <c r="N63" s="15">
        <v>101325</v>
      </c>
      <c r="O63" s="15">
        <v>0.8</v>
      </c>
      <c r="P63" s="15">
        <v>3</v>
      </c>
      <c r="Q63" s="22">
        <v>0.39583333333333298</v>
      </c>
      <c r="R63" s="19" t="s">
        <v>25</v>
      </c>
      <c r="S63" s="15" t="s">
        <v>26</v>
      </c>
      <c r="T63">
        <v>1</v>
      </c>
      <c r="U63">
        <v>0.6</v>
      </c>
      <c r="V63">
        <v>1</v>
      </c>
      <c r="W63">
        <v>1</v>
      </c>
      <c r="AN63" s="29"/>
      <c r="AO63" s="29"/>
      <c r="AQ63" s="28"/>
      <c r="AR63" s="28"/>
    </row>
    <row r="64" spans="2:48" x14ac:dyDescent="0.25">
      <c r="B64" s="24" t="s">
        <v>28</v>
      </c>
      <c r="E64" s="15" t="s">
        <v>100</v>
      </c>
      <c r="F64" s="21">
        <v>46079</v>
      </c>
      <c r="G64" s="22">
        <v>0.63958333333333295</v>
      </c>
      <c r="H64" s="23">
        <f>I64 *Tabelle1[[#This Row],[Umgebungsdruck]]/101325*273.15/(Tabelle1[[#This Row],[Umgebungstemperatur]]+273.15)/0.7828</f>
        <v>10.643814040508451</v>
      </c>
      <c r="I64" s="15">
        <f>Tabelle1[[#This Row],[Gasgeschwindigkeit]]*60</f>
        <v>9</v>
      </c>
      <c r="J64" s="15">
        <v>0.15</v>
      </c>
      <c r="K64" s="15">
        <f>Tabelle1[[#This Row],[Flüssigkeitsgeschwindigkeit]]*60</f>
        <v>2.4</v>
      </c>
      <c r="L64" s="15">
        <v>0.04</v>
      </c>
      <c r="M64" s="15">
        <v>21.9</v>
      </c>
      <c r="N64" s="15">
        <v>101325</v>
      </c>
      <c r="O64" s="15">
        <v>0.8</v>
      </c>
      <c r="P64" s="15">
        <v>3</v>
      </c>
      <c r="Q64" s="22">
        <v>0.39583333333333298</v>
      </c>
      <c r="R64" s="19" t="s">
        <v>25</v>
      </c>
      <c r="S64" s="15" t="s">
        <v>26</v>
      </c>
      <c r="T64">
        <v>1</v>
      </c>
      <c r="U64">
        <v>0.6</v>
      </c>
      <c r="V64">
        <v>1</v>
      </c>
      <c r="W64">
        <v>1</v>
      </c>
      <c r="AQ64" s="29">
        <v>0.15</v>
      </c>
      <c r="AR64" s="29">
        <v>1.35E-2</v>
      </c>
    </row>
    <row r="65" spans="2:44" x14ac:dyDescent="0.25">
      <c r="B65" s="24" t="s">
        <v>28</v>
      </c>
      <c r="E65" s="15" t="s">
        <v>101</v>
      </c>
      <c r="F65" s="21">
        <v>46079</v>
      </c>
      <c r="G65" s="22">
        <v>0.64513888888888904</v>
      </c>
      <c r="H65" s="23">
        <f>I65 *Tabelle1[[#This Row],[Umgebungsdruck]]/101325*273.15/(Tabelle1[[#This Row],[Umgebungstemperatur]]+273.15)/0.7828</f>
        <v>10.643814040508451</v>
      </c>
      <c r="I65" s="15">
        <f>Tabelle1[[#This Row],[Gasgeschwindigkeit]]*60</f>
        <v>9</v>
      </c>
      <c r="J65" s="15">
        <v>0.15</v>
      </c>
      <c r="K65" s="15">
        <f>Tabelle1[[#This Row],[Flüssigkeitsgeschwindigkeit]]*60</f>
        <v>1.2</v>
      </c>
      <c r="L65" s="15">
        <v>0.02</v>
      </c>
      <c r="M65" s="15">
        <v>21.9</v>
      </c>
      <c r="N65" s="15">
        <v>101325</v>
      </c>
      <c r="O65" s="15">
        <v>0.8</v>
      </c>
      <c r="P65" s="15">
        <v>3</v>
      </c>
      <c r="Q65" s="22">
        <v>0.39583333333333298</v>
      </c>
      <c r="R65" s="19" t="s">
        <v>25</v>
      </c>
      <c r="S65" s="15" t="s">
        <v>26</v>
      </c>
      <c r="T65">
        <v>1</v>
      </c>
      <c r="U65">
        <v>0.6</v>
      </c>
      <c r="V65">
        <v>1</v>
      </c>
      <c r="W65">
        <v>1</v>
      </c>
      <c r="AQ65" s="29">
        <v>7.0000000000000007E-2</v>
      </c>
      <c r="AR65" s="29">
        <v>0.02</v>
      </c>
    </row>
    <row r="66" spans="2:44" x14ac:dyDescent="0.25">
      <c r="B66" s="27" t="s">
        <v>38</v>
      </c>
      <c r="E66" s="15" t="s">
        <v>102</v>
      </c>
      <c r="F66" s="21">
        <v>46079</v>
      </c>
      <c r="G66" s="22">
        <v>0.64722222222222203</v>
      </c>
      <c r="H66" s="23">
        <f>I66 *Tabelle1[[#This Row],[Umgebungsdruck]]/101325*273.15/(Tabelle1[[#This Row],[Umgebungstemperatur]]+273.15)/0.7828</f>
        <v>7.805463629706197</v>
      </c>
      <c r="I66" s="15">
        <f>Tabelle1[[#This Row],[Gasgeschwindigkeit]]*60</f>
        <v>6.6</v>
      </c>
      <c r="J66" s="15">
        <v>0.11</v>
      </c>
      <c r="K66" s="15">
        <f>Tabelle1[[#This Row],[Flüssigkeitsgeschwindigkeit]]*60</f>
        <v>3.5999999999999996</v>
      </c>
      <c r="L66" s="15">
        <v>0.06</v>
      </c>
      <c r="M66" s="15">
        <v>21.9</v>
      </c>
      <c r="N66" s="15">
        <v>101325</v>
      </c>
      <c r="O66" s="15">
        <v>0.8</v>
      </c>
      <c r="P66" s="15">
        <v>3</v>
      </c>
      <c r="Q66" s="22">
        <v>0.39583333333333298</v>
      </c>
      <c r="R66" s="19" t="s">
        <v>25</v>
      </c>
      <c r="S66" s="15" t="s">
        <v>26</v>
      </c>
      <c r="T66">
        <v>1</v>
      </c>
      <c r="U66">
        <v>0.6</v>
      </c>
      <c r="V66">
        <v>1</v>
      </c>
      <c r="W66">
        <v>1</v>
      </c>
      <c r="AQ66" s="28">
        <v>0.11</v>
      </c>
      <c r="AR66" s="28">
        <v>0.01</v>
      </c>
    </row>
    <row r="67" spans="2:44" x14ac:dyDescent="0.25">
      <c r="B67" s="24" t="s">
        <v>28</v>
      </c>
      <c r="E67" s="15" t="s">
        <v>103</v>
      </c>
      <c r="F67" s="21">
        <v>46079</v>
      </c>
      <c r="H67" s="23">
        <f>I67 *Tabelle1[[#This Row],[Umgebungsdruck]]/101325*273.15/(Tabelle1[[#This Row],[Umgebungstemperatur]]+273.15)/0.7828</f>
        <v>7.805463629706197</v>
      </c>
      <c r="I67" s="15">
        <f>Tabelle1[[#This Row],[Gasgeschwindigkeit]]*60</f>
        <v>6.6</v>
      </c>
      <c r="J67" s="15">
        <v>0.11</v>
      </c>
      <c r="K67" s="15">
        <f>Tabelle1[[#This Row],[Flüssigkeitsgeschwindigkeit]]*60</f>
        <v>2.4</v>
      </c>
      <c r="L67" s="15">
        <v>0.04</v>
      </c>
      <c r="M67" s="15">
        <v>21.9</v>
      </c>
      <c r="N67" s="15">
        <v>101325</v>
      </c>
      <c r="O67" s="15">
        <v>0.8</v>
      </c>
      <c r="P67" s="15">
        <v>3</v>
      </c>
      <c r="Q67" s="22">
        <v>0.39583333333333298</v>
      </c>
      <c r="R67" s="19" t="s">
        <v>25</v>
      </c>
      <c r="S67" s="15" t="s">
        <v>26</v>
      </c>
      <c r="T67">
        <v>1</v>
      </c>
      <c r="U67">
        <v>0.6</v>
      </c>
      <c r="V67">
        <v>1</v>
      </c>
      <c r="W67">
        <v>1</v>
      </c>
      <c r="AQ67" s="29">
        <v>0.19</v>
      </c>
      <c r="AR67" s="29">
        <v>8.0000000000000002E-3</v>
      </c>
    </row>
    <row r="68" spans="2:44" x14ac:dyDescent="0.25">
      <c r="B68" s="24" t="s">
        <v>28</v>
      </c>
      <c r="E68" s="15" t="s">
        <v>104</v>
      </c>
      <c r="F68" s="21">
        <v>46079</v>
      </c>
      <c r="H68" s="23">
        <f>I68 *Tabelle1[[#This Row],[Umgebungsdruck]]/101325*273.15/(Tabelle1[[#This Row],[Umgebungstemperatur]]+273.15)/0.7828</f>
        <v>7.805463629706197</v>
      </c>
      <c r="I68" s="15">
        <f>Tabelle1[[#This Row],[Gasgeschwindigkeit]]*60</f>
        <v>6.6</v>
      </c>
      <c r="J68" s="15">
        <v>0.11</v>
      </c>
      <c r="K68" s="15">
        <f>Tabelle1[[#This Row],[Flüssigkeitsgeschwindigkeit]]*60</f>
        <v>1.2</v>
      </c>
      <c r="L68" s="15">
        <v>0.02</v>
      </c>
      <c r="M68" s="15">
        <v>21.9</v>
      </c>
      <c r="N68" s="15">
        <v>101325</v>
      </c>
      <c r="O68" s="15">
        <v>0.8</v>
      </c>
      <c r="P68" s="15">
        <v>3</v>
      </c>
      <c r="Q68" s="22">
        <v>0.39583333333333298</v>
      </c>
      <c r="R68" s="19" t="s">
        <v>25</v>
      </c>
      <c r="S68" s="15" t="s">
        <v>26</v>
      </c>
      <c r="T68">
        <v>1</v>
      </c>
      <c r="U68">
        <v>0.6</v>
      </c>
      <c r="V68">
        <v>1</v>
      </c>
      <c r="W68">
        <v>1</v>
      </c>
    </row>
    <row r="69" spans="2:44" x14ac:dyDescent="0.25">
      <c r="B69" s="27" t="s">
        <v>38</v>
      </c>
      <c r="E69" s="15" t="s">
        <v>105</v>
      </c>
      <c r="F69" s="21">
        <v>46079</v>
      </c>
      <c r="H69" s="23">
        <f>I69 *Tabelle1[[#This Row],[Umgebungsdruck]]/101325*273.15/(Tabelle1[[#This Row],[Umgebungstemperatur]]+273.15)/0.7828</f>
        <v>4.9671132189039442</v>
      </c>
      <c r="I69" s="15">
        <f>Tabelle1[[#This Row],[Gasgeschwindigkeit]]*60</f>
        <v>4.2</v>
      </c>
      <c r="J69" s="30">
        <v>7.0000000000000007E-2</v>
      </c>
      <c r="K69" s="15">
        <f>Tabelle1[[#This Row],[Flüssigkeitsgeschwindigkeit]]*60</f>
        <v>2.4</v>
      </c>
      <c r="L69" s="15">
        <v>0.04</v>
      </c>
      <c r="M69" s="15">
        <v>21.9</v>
      </c>
      <c r="N69" s="15">
        <v>101325</v>
      </c>
      <c r="O69" s="15">
        <v>0.8</v>
      </c>
      <c r="P69" s="15">
        <v>3</v>
      </c>
      <c r="Q69" s="22">
        <v>0.39583333333333298</v>
      </c>
      <c r="R69" s="19" t="s">
        <v>25</v>
      </c>
      <c r="S69" s="15" t="s">
        <v>26</v>
      </c>
      <c r="T69">
        <v>1</v>
      </c>
      <c r="U69">
        <v>0.6</v>
      </c>
      <c r="V69">
        <v>1</v>
      </c>
      <c r="W69">
        <v>1</v>
      </c>
    </row>
    <row r="70" spans="2:44" x14ac:dyDescent="0.25">
      <c r="B70" s="25" t="s">
        <v>31</v>
      </c>
      <c r="C70" s="15" t="s">
        <v>106</v>
      </c>
      <c r="D70" s="15">
        <v>0</v>
      </c>
      <c r="E70" s="15" t="s">
        <v>107</v>
      </c>
      <c r="F70" s="21">
        <v>46097</v>
      </c>
      <c r="G70" s="22">
        <v>0.55000000000000004</v>
      </c>
      <c r="H70" s="23">
        <v>4.9021596041489701</v>
      </c>
      <c r="I70" s="23">
        <f>(Tabelle1[[#This Row],[eingestellter 
Gasstrom]]*1.2693-2.457)*101325/Tabelle1[[#This Row],[Umgebungsdruck]]*(Tabelle1[[#This Row],[Umgebungstemperatur]]+273.15)/273.15</f>
        <v>4.121088119753237</v>
      </c>
      <c r="J70" s="30">
        <f>Tabelle1[[#This Row],[Realer Gasstrom]]/60</f>
        <v>6.8684801995887279E-2</v>
      </c>
      <c r="K70" s="15">
        <f>Tabelle1[[#This Row],[Flüssigkeitsgeschwindigkeit]]*60</f>
        <v>0.6</v>
      </c>
      <c r="L70" s="15">
        <v>0.01</v>
      </c>
      <c r="M70" s="15">
        <v>21.9</v>
      </c>
      <c r="N70" s="15">
        <v>100000</v>
      </c>
      <c r="O70" s="15">
        <v>0.6</v>
      </c>
      <c r="P70" s="15">
        <v>1</v>
      </c>
      <c r="Q70" s="22"/>
      <c r="R70" s="19" t="s">
        <v>25</v>
      </c>
      <c r="S70" s="15" t="s">
        <v>26</v>
      </c>
      <c r="T70">
        <v>1</v>
      </c>
      <c r="U70">
        <v>0.6</v>
      </c>
      <c r="V70">
        <v>1</v>
      </c>
      <c r="W70">
        <v>0.2</v>
      </c>
      <c r="X70" s="15">
        <v>72</v>
      </c>
    </row>
    <row r="71" spans="2:44" x14ac:dyDescent="0.25">
      <c r="B71" s="24" t="s">
        <v>28</v>
      </c>
      <c r="C71" s="15" t="s">
        <v>106</v>
      </c>
      <c r="D71" s="15">
        <v>0</v>
      </c>
      <c r="E71" s="15" t="s">
        <v>108</v>
      </c>
      <c r="F71" s="21">
        <v>46097</v>
      </c>
      <c r="G71" s="22">
        <v>0.55138888888888904</v>
      </c>
      <c r="H71" s="23">
        <v>4.9801491717128004</v>
      </c>
      <c r="I71" s="23">
        <f>(Tabelle1[[#This Row],[eingestellter 
Gasstrom]]*1.2693-2.457)*101325/Tabelle1[[#This Row],[Umgebungsdruck]]*(Tabelle1[[#This Row],[Umgebungstemperatur]]+273.15)/273.15</f>
        <v>4.2294338544422541</v>
      </c>
      <c r="J71" s="30">
        <f>Tabelle1[[#This Row],[Realer Gasstrom]]/60</f>
        <v>7.049056424070424E-2</v>
      </c>
      <c r="K71" s="15">
        <f>Tabelle1[[#This Row],[Flüssigkeitsgeschwindigkeit]]*60</f>
        <v>1.2</v>
      </c>
      <c r="L71" s="15">
        <v>0.02</v>
      </c>
      <c r="M71" s="15">
        <v>21.9</v>
      </c>
      <c r="N71" s="15">
        <v>100000</v>
      </c>
      <c r="O71" s="15">
        <v>0.6</v>
      </c>
      <c r="P71" s="15">
        <v>1</v>
      </c>
      <c r="Q71" s="22"/>
      <c r="R71" s="19" t="s">
        <v>25</v>
      </c>
      <c r="S71" s="15" t="s">
        <v>26</v>
      </c>
      <c r="T71">
        <v>1</v>
      </c>
      <c r="U71">
        <v>0.6</v>
      </c>
      <c r="V71">
        <v>1</v>
      </c>
      <c r="W71">
        <v>0.2</v>
      </c>
      <c r="X71" s="15">
        <v>72</v>
      </c>
    </row>
    <row r="72" spans="2:44" x14ac:dyDescent="0.25">
      <c r="B72" s="24" t="s">
        <v>28</v>
      </c>
      <c r="C72" s="15" t="s">
        <v>106</v>
      </c>
      <c r="D72" s="15">
        <v>0</v>
      </c>
      <c r="E72" s="15" t="s">
        <v>109</v>
      </c>
      <c r="F72" s="21">
        <v>46097</v>
      </c>
      <c r="G72" s="22">
        <v>0.58333333333333304</v>
      </c>
      <c r="H72" s="23">
        <v>4.9021596041489701</v>
      </c>
      <c r="I72" s="23">
        <f>(Tabelle1[[#This Row],[eingestellter 
Gasstrom]]*1.2693-2.457)*101325/Tabelle1[[#This Row],[Umgebungsdruck]]*(Tabelle1[[#This Row],[Umgebungstemperatur]]+273.15)/273.15</f>
        <v>4.121088119753237</v>
      </c>
      <c r="J72" s="30">
        <f>Tabelle1[[#This Row],[Realer Gasstrom]]/60</f>
        <v>6.8684801995887279E-2</v>
      </c>
      <c r="K72" s="15">
        <f>Tabelle1[[#This Row],[Flüssigkeitsgeschwindigkeit]]*60</f>
        <v>3.36</v>
      </c>
      <c r="L72" s="15">
        <v>5.6000000000000001E-2</v>
      </c>
      <c r="M72" s="15">
        <v>21.9</v>
      </c>
      <c r="N72" s="15">
        <v>100000</v>
      </c>
      <c r="O72" s="15">
        <v>0.6</v>
      </c>
      <c r="P72" s="15">
        <v>1</v>
      </c>
      <c r="Q72" s="22"/>
      <c r="R72" s="19" t="s">
        <v>25</v>
      </c>
      <c r="S72" s="15" t="s">
        <v>26</v>
      </c>
      <c r="T72">
        <v>1</v>
      </c>
      <c r="U72">
        <v>0.6</v>
      </c>
      <c r="V72">
        <v>1</v>
      </c>
      <c r="W72">
        <v>0.2</v>
      </c>
      <c r="X72" s="15">
        <v>72</v>
      </c>
    </row>
    <row r="73" spans="2:44" x14ac:dyDescent="0.25">
      <c r="B73" s="24" t="s">
        <v>28</v>
      </c>
      <c r="C73" s="15" t="s">
        <v>106</v>
      </c>
      <c r="D73" s="15">
        <v>0</v>
      </c>
      <c r="E73" s="15" t="s">
        <v>110</v>
      </c>
      <c r="F73" s="21">
        <v>46097</v>
      </c>
      <c r="G73" s="22">
        <v>0.55416666666666703</v>
      </c>
      <c r="H73" s="23">
        <v>4.9021596041489701</v>
      </c>
      <c r="I73" s="23">
        <f>(Tabelle1[[#This Row],[eingestellter 
Gasstrom]]*1.2693-2.457)*101325/Tabelle1[[#This Row],[Umgebungsdruck]]*(Tabelle1[[#This Row],[Umgebungstemperatur]]+273.15)/273.15</f>
        <v>4.121088119753237</v>
      </c>
      <c r="J73" s="30">
        <f>Tabelle1[[#This Row],[Realer Gasstrom]]/60</f>
        <v>6.8684801995887279E-2</v>
      </c>
      <c r="K73" s="15">
        <f>Tabelle1[[#This Row],[Flüssigkeitsgeschwindigkeit]]*60</f>
        <v>2.4</v>
      </c>
      <c r="L73" s="15">
        <v>0.04</v>
      </c>
      <c r="M73" s="15">
        <v>21.9</v>
      </c>
      <c r="N73" s="15">
        <v>100000</v>
      </c>
      <c r="O73" s="15">
        <v>0.6</v>
      </c>
      <c r="P73" s="15">
        <v>1</v>
      </c>
      <c r="Q73" s="22">
        <v>0.41666666666666702</v>
      </c>
      <c r="R73" s="19" t="s">
        <v>25</v>
      </c>
      <c r="S73" s="15" t="s">
        <v>26</v>
      </c>
      <c r="T73">
        <v>1</v>
      </c>
      <c r="U73">
        <v>0.6</v>
      </c>
      <c r="V73">
        <v>1</v>
      </c>
      <c r="W73">
        <v>0.2</v>
      </c>
      <c r="X73" s="15">
        <v>72</v>
      </c>
    </row>
    <row r="74" spans="2:44" x14ac:dyDescent="0.25">
      <c r="B74" s="27" t="s">
        <v>38</v>
      </c>
      <c r="C74" s="15" t="s">
        <v>106</v>
      </c>
      <c r="D74" s="15">
        <v>0</v>
      </c>
      <c r="E74" s="15" t="s">
        <v>111</v>
      </c>
      <c r="F74" s="21">
        <v>46097</v>
      </c>
      <c r="G74" s="22">
        <v>0.58402777777777803</v>
      </c>
      <c r="H74" s="23">
        <v>4.9021596041489701</v>
      </c>
      <c r="I74" s="23">
        <f>(Tabelle1[[#This Row],[eingestellter 
Gasstrom]]*1.2693-2.457)*101325/Tabelle1[[#This Row],[Umgebungsdruck]]*(Tabelle1[[#This Row],[Umgebungstemperatur]]+273.15)/273.15</f>
        <v>4.121088119753237</v>
      </c>
      <c r="J74" s="30">
        <f>Tabelle1[[#This Row],[Realer Gasstrom]]/60</f>
        <v>6.8684801995887279E-2</v>
      </c>
      <c r="K74" s="15">
        <f>Tabelle1[[#This Row],[Flüssigkeitsgeschwindigkeit]]*60</f>
        <v>10.020000000000001</v>
      </c>
      <c r="L74" s="15">
        <v>0.16700000000000001</v>
      </c>
      <c r="M74" s="15">
        <v>21.9</v>
      </c>
      <c r="N74" s="15">
        <v>100000</v>
      </c>
      <c r="O74" s="15">
        <v>0.6</v>
      </c>
      <c r="P74" s="15">
        <v>1</v>
      </c>
      <c r="R74" s="19" t="s">
        <v>25</v>
      </c>
      <c r="S74" s="15" t="s">
        <v>26</v>
      </c>
      <c r="T74">
        <v>1</v>
      </c>
      <c r="U74">
        <v>0.6</v>
      </c>
      <c r="V74">
        <v>1</v>
      </c>
      <c r="W74">
        <v>0.2</v>
      </c>
      <c r="X74" s="15">
        <v>72</v>
      </c>
    </row>
    <row r="75" spans="2:44" x14ac:dyDescent="0.25">
      <c r="B75" s="20" t="s">
        <v>23</v>
      </c>
      <c r="C75" s="15" t="s">
        <v>106</v>
      </c>
      <c r="D75" s="15">
        <v>0</v>
      </c>
      <c r="E75" s="15" t="s">
        <v>112</v>
      </c>
      <c r="F75" s="21">
        <v>46097</v>
      </c>
      <c r="G75" s="22">
        <v>0.55555555555555602</v>
      </c>
      <c r="H75" s="23">
        <v>4.9021596041489701</v>
      </c>
      <c r="I75" s="23">
        <f>(Tabelle1[[#This Row],[eingestellter 
Gasstrom]]*1.2693-2.457)*101325/Tabelle1[[#This Row],[Umgebungsdruck]]*(Tabelle1[[#This Row],[Umgebungstemperatur]]+273.15)/273.15</f>
        <v>4.121088119753237</v>
      </c>
      <c r="J75" s="30">
        <f>Tabelle1[[#This Row],[Realer Gasstrom]]/60</f>
        <v>6.8684801995887279E-2</v>
      </c>
      <c r="K75" s="15">
        <f>Tabelle1[[#This Row],[Flüssigkeitsgeschwindigkeit]]*60</f>
        <v>7.1999999999999993</v>
      </c>
      <c r="L75" s="15">
        <v>0.12</v>
      </c>
      <c r="M75" s="15">
        <v>21.9</v>
      </c>
      <c r="N75" s="15">
        <v>100000</v>
      </c>
      <c r="O75" s="15">
        <v>0.6</v>
      </c>
      <c r="P75" s="15">
        <v>1</v>
      </c>
      <c r="R75" s="19" t="s">
        <v>25</v>
      </c>
      <c r="S75" s="15" t="s">
        <v>26</v>
      </c>
      <c r="T75">
        <v>1</v>
      </c>
      <c r="U75">
        <v>0.6</v>
      </c>
      <c r="V75">
        <v>1</v>
      </c>
      <c r="W75">
        <v>0.2</v>
      </c>
      <c r="X75" s="15">
        <v>72</v>
      </c>
      <c r="AN75" s="20" t="s">
        <v>23</v>
      </c>
      <c r="AO75" s="28">
        <v>0.15</v>
      </c>
      <c r="AP75" s="28">
        <v>0.08</v>
      </c>
    </row>
    <row r="76" spans="2:44" x14ac:dyDescent="0.25">
      <c r="B76" s="24" t="s">
        <v>28</v>
      </c>
      <c r="C76" s="15" t="s">
        <v>106</v>
      </c>
      <c r="D76" s="15">
        <v>0</v>
      </c>
      <c r="E76" s="15" t="s">
        <v>113</v>
      </c>
      <c r="F76" s="21">
        <v>46097</v>
      </c>
      <c r="G76" s="22">
        <v>0.55625000000000002</v>
      </c>
      <c r="H76" s="23">
        <v>4.9021596041489701</v>
      </c>
      <c r="I76" s="23">
        <f>(Tabelle1[[#This Row],[eingestellter 
Gasstrom]]*1.2693-2.457)*101325/Tabelle1[[#This Row],[Umgebungsdruck]]*(Tabelle1[[#This Row],[Umgebungstemperatur]]+273.15)/273.15</f>
        <v>4.121088119753237</v>
      </c>
      <c r="J76" s="30">
        <f>Tabelle1[[#This Row],[Realer Gasstrom]]/60</f>
        <v>6.8684801995887279E-2</v>
      </c>
      <c r="K76" s="15">
        <f>Tabelle1[[#This Row],[Flüssigkeitsgeschwindigkeit]]*60</f>
        <v>3.5999999999999996</v>
      </c>
      <c r="L76" s="15">
        <v>0.06</v>
      </c>
      <c r="M76" s="15">
        <v>21.9</v>
      </c>
      <c r="N76" s="15">
        <v>100000</v>
      </c>
      <c r="O76" s="15">
        <v>0.6</v>
      </c>
      <c r="P76" s="15">
        <v>1</v>
      </c>
      <c r="R76" s="19" t="s">
        <v>25</v>
      </c>
      <c r="S76" s="15" t="s">
        <v>26</v>
      </c>
      <c r="T76">
        <v>1</v>
      </c>
      <c r="U76">
        <v>0.6</v>
      </c>
      <c r="V76">
        <v>1</v>
      </c>
      <c r="W76">
        <v>0.2</v>
      </c>
      <c r="X76" s="15">
        <v>72</v>
      </c>
      <c r="AN76" s="20"/>
      <c r="AO76" s="28"/>
      <c r="AP76" s="28"/>
    </row>
    <row r="77" spans="2:44" x14ac:dyDescent="0.25">
      <c r="B77" s="24" t="s">
        <v>28</v>
      </c>
      <c r="C77" s="15" t="s">
        <v>106</v>
      </c>
      <c r="D77" s="15">
        <v>0</v>
      </c>
      <c r="E77" s="15" t="s">
        <v>114</v>
      </c>
      <c r="F77" s="21">
        <v>46097</v>
      </c>
      <c r="G77" s="22">
        <v>0.563194444444444</v>
      </c>
      <c r="H77" s="23">
        <v>4.9021596041489701</v>
      </c>
      <c r="I77" s="23">
        <f>(Tabelle1[[#This Row],[eingestellter 
Gasstrom]]*1.2693-2.457)*101325/Tabelle1[[#This Row],[Umgebungsdruck]]*(Tabelle1[[#This Row],[Umgebungstemperatur]]+273.15)/273.15</f>
        <v>4.121088119753237</v>
      </c>
      <c r="J77" s="30">
        <f>Tabelle1[[#This Row],[Realer Gasstrom]]/60</f>
        <v>6.8684801995887279E-2</v>
      </c>
      <c r="K77" s="15">
        <f>Tabelle1[[#This Row],[Flüssigkeitsgeschwindigkeit]]*60</f>
        <v>4.8</v>
      </c>
      <c r="L77" s="15">
        <v>0.08</v>
      </c>
      <c r="M77" s="15">
        <v>21.9</v>
      </c>
      <c r="N77" s="15">
        <v>100000</v>
      </c>
      <c r="O77" s="15">
        <v>0.6</v>
      </c>
      <c r="P77" s="15">
        <v>1</v>
      </c>
      <c r="R77" s="19" t="s">
        <v>25</v>
      </c>
      <c r="S77" s="15" t="s">
        <v>26</v>
      </c>
      <c r="T77">
        <v>1</v>
      </c>
      <c r="U77">
        <v>0.6</v>
      </c>
      <c r="V77">
        <v>1</v>
      </c>
      <c r="W77">
        <v>0.2</v>
      </c>
      <c r="X77" s="15">
        <v>72</v>
      </c>
      <c r="AN77" s="20" t="s">
        <v>23</v>
      </c>
      <c r="AO77" s="28">
        <v>0.11</v>
      </c>
      <c r="AP77" s="28">
        <v>0.06</v>
      </c>
    </row>
    <row r="78" spans="2:44" x14ac:dyDescent="0.25">
      <c r="B78" s="24" t="s">
        <v>28</v>
      </c>
      <c r="C78" s="15" t="s">
        <v>106</v>
      </c>
      <c r="D78" s="15">
        <v>0</v>
      </c>
      <c r="E78" s="15" t="s">
        <v>115</v>
      </c>
      <c r="F78" s="21">
        <v>46097</v>
      </c>
      <c r="G78" s="22">
        <v>0.56458333333333299</v>
      </c>
      <c r="H78" s="23">
        <v>4.9021596041489701</v>
      </c>
      <c r="I78" s="23">
        <f>(Tabelle1[[#This Row],[eingestellter 
Gasstrom]]*1.2693-2.457)*101325/Tabelle1[[#This Row],[Umgebungsdruck]]*(Tabelle1[[#This Row],[Umgebungstemperatur]]+273.15)/273.15</f>
        <v>4.121088119753237</v>
      </c>
      <c r="J78" s="30">
        <f>Tabelle1[[#This Row],[Realer Gasstrom]]/60</f>
        <v>6.8684801995887279E-2</v>
      </c>
      <c r="K78" s="15">
        <f>Tabelle1[[#This Row],[Flüssigkeitsgeschwindigkeit]]*60</f>
        <v>6</v>
      </c>
      <c r="L78" s="15">
        <v>0.1</v>
      </c>
      <c r="M78" s="15">
        <v>21.9</v>
      </c>
      <c r="N78" s="15">
        <v>100000</v>
      </c>
      <c r="O78" s="15">
        <v>0.6</v>
      </c>
      <c r="P78" s="15">
        <v>1</v>
      </c>
      <c r="R78" s="19" t="s">
        <v>25</v>
      </c>
      <c r="S78" s="15" t="s">
        <v>26</v>
      </c>
      <c r="T78">
        <v>1</v>
      </c>
      <c r="U78">
        <v>0.6</v>
      </c>
      <c r="V78">
        <v>1</v>
      </c>
      <c r="W78">
        <v>0.2</v>
      </c>
      <c r="X78" s="15">
        <v>72</v>
      </c>
      <c r="AN78" s="20"/>
      <c r="AO78" s="28"/>
      <c r="AP78" s="28"/>
    </row>
    <row r="79" spans="2:44" x14ac:dyDescent="0.25">
      <c r="B79" s="24" t="s">
        <v>28</v>
      </c>
      <c r="C79" s="15" t="s">
        <v>106</v>
      </c>
      <c r="D79" s="15">
        <v>0</v>
      </c>
      <c r="E79" s="15" t="s">
        <v>116</v>
      </c>
      <c r="F79" s="21">
        <v>46097</v>
      </c>
      <c r="G79" s="22">
        <v>0.58611111111111103</v>
      </c>
      <c r="H79" s="23">
        <v>4.9021596041489701</v>
      </c>
      <c r="I79" s="23">
        <f>(Tabelle1[[#This Row],[eingestellter 
Gasstrom]]*1.2693-2.457)*101325/Tabelle1[[#This Row],[Umgebungsdruck]]*(Tabelle1[[#This Row],[Umgebungstemperatur]]+273.15)/273.15</f>
        <v>4.121088119753237</v>
      </c>
      <c r="J79" s="30">
        <f>Tabelle1[[#This Row],[Realer Gasstrom]]/60</f>
        <v>6.8684801995887279E-2</v>
      </c>
      <c r="K79" s="15">
        <f>Tabelle1[[#This Row],[Flüssigkeitsgeschwindigkeit]]*60</f>
        <v>6.66</v>
      </c>
      <c r="L79" s="15">
        <v>0.111</v>
      </c>
      <c r="M79" s="15">
        <v>21.9</v>
      </c>
      <c r="N79" s="15">
        <v>100000</v>
      </c>
      <c r="O79" s="15">
        <v>0.6</v>
      </c>
      <c r="P79" s="15">
        <v>1</v>
      </c>
      <c r="R79" s="19" t="s">
        <v>25</v>
      </c>
      <c r="S79" s="15" t="s">
        <v>26</v>
      </c>
      <c r="T79">
        <v>1</v>
      </c>
      <c r="U79">
        <v>0.6</v>
      </c>
      <c r="V79">
        <v>1</v>
      </c>
      <c r="W79">
        <v>0.2</v>
      </c>
      <c r="X79" s="15">
        <v>72</v>
      </c>
      <c r="AN79" s="20" t="s">
        <v>23</v>
      </c>
      <c r="AO79" s="28">
        <v>7.0000000000000007E-2</v>
      </c>
      <c r="AP79" s="28">
        <v>0.04</v>
      </c>
    </row>
    <row r="80" spans="2:44" x14ac:dyDescent="0.25">
      <c r="B80" s="25" t="s">
        <v>31</v>
      </c>
      <c r="C80" s="15" t="s">
        <v>106</v>
      </c>
      <c r="D80" s="15">
        <v>0</v>
      </c>
      <c r="E80" s="15" t="s">
        <v>117</v>
      </c>
      <c r="F80" s="21">
        <v>46097</v>
      </c>
      <c r="G80" s="22">
        <v>0.56805555555555598</v>
      </c>
      <c r="H80" s="23">
        <v>7.7033936636626699</v>
      </c>
      <c r="I80" s="23">
        <f>(Tabelle1[[#This Row],[eingestellter 
Gasstrom]]*1.2693-2.457)*101325/Tabelle1[[#This Row],[Umgebungsdruck]]*(Tabelle1[[#This Row],[Umgebungstemperatur]]+273.15)/273.15</f>
        <v>8.0126568473975954</v>
      </c>
      <c r="J80" s="30">
        <f>Tabelle1[[#This Row],[Realer Gasstrom]]/60</f>
        <v>0.13354428078995992</v>
      </c>
      <c r="K80" s="15">
        <f>Tabelle1[[#This Row],[Flüssigkeitsgeschwindigkeit]]*60</f>
        <v>0.6</v>
      </c>
      <c r="L80" s="15">
        <v>0.01</v>
      </c>
      <c r="M80" s="15">
        <v>21.9</v>
      </c>
      <c r="N80" s="15">
        <v>100000</v>
      </c>
      <c r="O80" s="15">
        <v>0.6</v>
      </c>
      <c r="P80" s="15">
        <v>1</v>
      </c>
      <c r="R80" s="19" t="s">
        <v>25</v>
      </c>
      <c r="S80" s="15" t="s">
        <v>26</v>
      </c>
      <c r="T80">
        <v>1</v>
      </c>
      <c r="U80">
        <v>0.6</v>
      </c>
      <c r="V80">
        <v>1</v>
      </c>
      <c r="W80">
        <v>0.2</v>
      </c>
      <c r="X80" s="15">
        <v>72</v>
      </c>
      <c r="AJ80" s="25" t="s">
        <v>31</v>
      </c>
      <c r="AK80" s="28">
        <v>0.19</v>
      </c>
      <c r="AL80" s="28">
        <v>0.02</v>
      </c>
    </row>
    <row r="81" spans="2:42" x14ac:dyDescent="0.25">
      <c r="B81" s="24" t="s">
        <v>28</v>
      </c>
      <c r="C81" s="15" t="s">
        <v>106</v>
      </c>
      <c r="D81" s="15">
        <v>0</v>
      </c>
      <c r="E81" s="15" t="s">
        <v>118</v>
      </c>
      <c r="F81" s="21">
        <v>46097</v>
      </c>
      <c r="G81" s="22">
        <v>0.56874999999999998</v>
      </c>
      <c r="H81" s="23">
        <v>7.7033936636626699</v>
      </c>
      <c r="I81" s="23">
        <f>(Tabelle1[[#This Row],[eingestellter 
Gasstrom]]*1.2693-2.457)*101325/Tabelle1[[#This Row],[Umgebungsdruck]]*(Tabelle1[[#This Row],[Umgebungstemperatur]]+273.15)/273.15</f>
        <v>8.0126568473975954</v>
      </c>
      <c r="J81" s="30">
        <f>Tabelle1[[#This Row],[Realer Gasstrom]]/60</f>
        <v>0.13354428078995992</v>
      </c>
      <c r="K81" s="15">
        <f>Tabelle1[[#This Row],[Flüssigkeitsgeschwindigkeit]]*60</f>
        <v>1.2</v>
      </c>
      <c r="L81" s="15">
        <v>0.02</v>
      </c>
      <c r="M81" s="15">
        <v>21.9</v>
      </c>
      <c r="N81" s="15">
        <v>100000</v>
      </c>
      <c r="O81" s="15">
        <v>0.6</v>
      </c>
      <c r="P81" s="15">
        <v>1</v>
      </c>
      <c r="R81" s="19" t="s">
        <v>25</v>
      </c>
      <c r="S81" s="15" t="s">
        <v>26</v>
      </c>
      <c r="T81">
        <v>1</v>
      </c>
      <c r="U81">
        <v>0.6</v>
      </c>
      <c r="V81">
        <v>1</v>
      </c>
      <c r="W81">
        <v>0.2</v>
      </c>
      <c r="X81" s="15">
        <v>72</v>
      </c>
      <c r="AJ81" s="25"/>
      <c r="AK81" s="28"/>
      <c r="AL81" s="28"/>
    </row>
    <row r="82" spans="2:42" x14ac:dyDescent="0.25">
      <c r="B82" s="24" t="s">
        <v>28</v>
      </c>
      <c r="C82" s="15" t="s">
        <v>106</v>
      </c>
      <c r="D82" s="15">
        <v>0</v>
      </c>
      <c r="E82" s="15" t="s">
        <v>119</v>
      </c>
      <c r="F82" s="21">
        <v>46097</v>
      </c>
      <c r="G82" s="22">
        <v>0.57013888888888897</v>
      </c>
      <c r="H82" s="23">
        <v>7.7033936636626699</v>
      </c>
      <c r="I82" s="23">
        <f>(Tabelle1[[#This Row],[eingestellter 
Gasstrom]]*1.2693-2.457)*101325/Tabelle1[[#This Row],[Umgebungsdruck]]*(Tabelle1[[#This Row],[Umgebungstemperatur]]+273.15)/273.15</f>
        <v>8.0126568473975954</v>
      </c>
      <c r="J82" s="30">
        <f>Tabelle1[[#This Row],[Realer Gasstrom]]/60</f>
        <v>0.13354428078995992</v>
      </c>
      <c r="K82" s="15">
        <f>Tabelle1[[#This Row],[Flüssigkeitsgeschwindigkeit]]*60</f>
        <v>7.1999999999999993</v>
      </c>
      <c r="L82" s="15">
        <v>0.12</v>
      </c>
      <c r="M82" s="15">
        <v>21.9</v>
      </c>
      <c r="N82" s="15">
        <v>100000</v>
      </c>
      <c r="O82" s="15">
        <v>0.6</v>
      </c>
      <c r="P82" s="15">
        <v>1</v>
      </c>
      <c r="R82" s="19" t="s">
        <v>25</v>
      </c>
      <c r="S82" s="15" t="s">
        <v>26</v>
      </c>
      <c r="T82">
        <v>1</v>
      </c>
      <c r="U82">
        <v>0.6</v>
      </c>
      <c r="V82">
        <v>1</v>
      </c>
      <c r="W82">
        <v>0.2</v>
      </c>
      <c r="X82" s="15">
        <v>72</v>
      </c>
      <c r="AJ82" s="25"/>
      <c r="AK82" s="28"/>
      <c r="AL82" s="28"/>
    </row>
    <row r="83" spans="2:42" x14ac:dyDescent="0.25">
      <c r="B83" s="24" t="s">
        <v>28</v>
      </c>
      <c r="C83" s="15" t="s">
        <v>106</v>
      </c>
      <c r="D83" s="15">
        <v>0</v>
      </c>
      <c r="E83" s="15" t="s">
        <v>120</v>
      </c>
      <c r="F83" s="21">
        <v>46097</v>
      </c>
      <c r="G83" s="22">
        <v>0.57152777777777797</v>
      </c>
      <c r="H83" s="23">
        <v>7.7033936636626699</v>
      </c>
      <c r="I83" s="23">
        <f>(Tabelle1[[#This Row],[eingestellter 
Gasstrom]]*1.2693-2.457)*101325/Tabelle1[[#This Row],[Umgebungsdruck]]*(Tabelle1[[#This Row],[Umgebungstemperatur]]+273.15)/273.15</f>
        <v>8.0126568473975954</v>
      </c>
      <c r="J83" s="30">
        <f>Tabelle1[[#This Row],[Realer Gasstrom]]/60</f>
        <v>0.13354428078995992</v>
      </c>
      <c r="K83" s="15">
        <f>Tabelle1[[#This Row],[Flüssigkeitsgeschwindigkeit]]*60</f>
        <v>9</v>
      </c>
      <c r="L83" s="15">
        <v>0.15</v>
      </c>
      <c r="M83" s="15">
        <v>21.9</v>
      </c>
      <c r="N83" s="15">
        <v>100000</v>
      </c>
      <c r="O83" s="15">
        <v>0.6</v>
      </c>
      <c r="P83" s="15">
        <v>1</v>
      </c>
      <c r="R83" s="19" t="s">
        <v>25</v>
      </c>
      <c r="S83" s="15" t="s">
        <v>26</v>
      </c>
      <c r="T83">
        <v>1</v>
      </c>
      <c r="U83">
        <v>0.6</v>
      </c>
      <c r="V83">
        <v>1</v>
      </c>
      <c r="W83">
        <v>0.2</v>
      </c>
      <c r="X83" s="15">
        <v>72</v>
      </c>
    </row>
    <row r="84" spans="2:42" x14ac:dyDescent="0.25">
      <c r="B84" s="24" t="s">
        <v>28</v>
      </c>
      <c r="C84" s="15" t="s">
        <v>106</v>
      </c>
      <c r="D84" s="15">
        <v>0</v>
      </c>
      <c r="E84" s="15" t="s">
        <v>121</v>
      </c>
      <c r="F84" s="21">
        <v>46097</v>
      </c>
      <c r="G84" s="22">
        <v>0.59097222222222201</v>
      </c>
      <c r="H84" s="23">
        <v>7.7033936636626699</v>
      </c>
      <c r="I84" s="23">
        <f>(Tabelle1[[#This Row],[eingestellter 
Gasstrom]]*1.2693-2.457)*101325/Tabelle1[[#This Row],[Umgebungsdruck]]*(Tabelle1[[#This Row],[Umgebungstemperatur]]+273.15)/273.15</f>
        <v>8.0126568473975954</v>
      </c>
      <c r="J84" s="30">
        <f>Tabelle1[[#This Row],[Realer Gasstrom]]/60</f>
        <v>0.13354428078995992</v>
      </c>
      <c r="K84" s="15">
        <f>Tabelle1[[#This Row],[Flüssigkeitsgeschwindigkeit]]*60</f>
        <v>10.020000000000001</v>
      </c>
      <c r="L84" s="15">
        <v>0.16700000000000001</v>
      </c>
      <c r="M84" s="15">
        <v>21.9</v>
      </c>
      <c r="N84" s="15">
        <v>100000</v>
      </c>
      <c r="O84" s="15">
        <v>0.6</v>
      </c>
      <c r="P84" s="15">
        <v>1</v>
      </c>
      <c r="R84" s="19" t="s">
        <v>25</v>
      </c>
      <c r="S84" s="15" t="s">
        <v>26</v>
      </c>
      <c r="T84">
        <v>1</v>
      </c>
      <c r="U84">
        <v>0.6</v>
      </c>
      <c r="V84">
        <v>1</v>
      </c>
      <c r="W84">
        <v>0.2</v>
      </c>
      <c r="X84" s="15">
        <v>72</v>
      </c>
    </row>
    <row r="85" spans="2:42" x14ac:dyDescent="0.25">
      <c r="B85" s="20" t="s">
        <v>23</v>
      </c>
      <c r="C85" s="15" t="s">
        <v>106</v>
      </c>
      <c r="D85" s="15">
        <v>0</v>
      </c>
      <c r="E85" s="15" t="s">
        <v>122</v>
      </c>
      <c r="F85" s="21">
        <v>46097</v>
      </c>
      <c r="G85" s="22">
        <v>0.6</v>
      </c>
      <c r="H85" s="23">
        <v>7.7033936636626699</v>
      </c>
      <c r="I85" s="23">
        <f>(Tabelle1[[#This Row],[eingestellter 
Gasstrom]]*1.2693-2.457)*101325/Tabelle1[[#This Row],[Umgebungsdruck]]*(Tabelle1[[#This Row],[Umgebungstemperatur]]+273.15)/273.15</f>
        <v>8.0126568473975954</v>
      </c>
      <c r="J85" s="30">
        <f>Tabelle1[[#This Row],[Realer Gasstrom]]/60</f>
        <v>0.13354428078995992</v>
      </c>
      <c r="K85" s="15">
        <f>Tabelle1[[#This Row],[Flüssigkeitsgeschwindigkeit]]*60</f>
        <v>11.64</v>
      </c>
      <c r="L85" s="15">
        <v>0.19400000000000001</v>
      </c>
      <c r="M85" s="15">
        <v>21.9</v>
      </c>
      <c r="N85" s="15">
        <v>100000</v>
      </c>
      <c r="O85" s="15">
        <v>0.6</v>
      </c>
      <c r="P85" s="15">
        <v>1</v>
      </c>
      <c r="R85" s="19" t="s">
        <v>25</v>
      </c>
      <c r="S85" s="15" t="s">
        <v>26</v>
      </c>
      <c r="T85">
        <v>1</v>
      </c>
      <c r="U85">
        <v>0.6</v>
      </c>
      <c r="V85">
        <v>1</v>
      </c>
      <c r="W85">
        <v>0.2</v>
      </c>
      <c r="X85" s="15">
        <v>72</v>
      </c>
    </row>
    <row r="86" spans="2:42" x14ac:dyDescent="0.25">
      <c r="B86" s="27" t="s">
        <v>38</v>
      </c>
      <c r="C86" s="15" t="s">
        <v>106</v>
      </c>
      <c r="D86" s="15">
        <v>0</v>
      </c>
      <c r="E86" s="15" t="s">
        <v>123</v>
      </c>
      <c r="F86" s="21">
        <v>46097</v>
      </c>
      <c r="G86" s="22">
        <v>0.59375</v>
      </c>
      <c r="H86" s="23">
        <v>7.7033936636626699</v>
      </c>
      <c r="I86" s="23">
        <f>(Tabelle1[[#This Row],[eingestellter 
Gasstrom]]*1.2693-2.457)*101325/Tabelle1[[#This Row],[Umgebungsdruck]]*(Tabelle1[[#This Row],[Umgebungstemperatur]]+273.15)/273.15</f>
        <v>8.0126568473975954</v>
      </c>
      <c r="J86" s="30">
        <f>Tabelle1[[#This Row],[Realer Gasstrom]]/60</f>
        <v>0.13354428078995992</v>
      </c>
      <c r="K86" s="15">
        <f>Tabelle1[[#This Row],[Flüssigkeitsgeschwindigkeit]]*60</f>
        <v>15</v>
      </c>
      <c r="L86" s="15">
        <v>0.25</v>
      </c>
      <c r="M86" s="15">
        <v>21.9</v>
      </c>
      <c r="N86" s="15">
        <v>100000</v>
      </c>
      <c r="O86" s="15">
        <v>0.6</v>
      </c>
      <c r="P86" s="15">
        <v>1</v>
      </c>
      <c r="Q86" s="22">
        <v>0.5625</v>
      </c>
      <c r="R86" s="19" t="s">
        <v>25</v>
      </c>
      <c r="S86" s="15" t="s">
        <v>26</v>
      </c>
      <c r="T86">
        <v>1</v>
      </c>
      <c r="U86">
        <v>0.6</v>
      </c>
      <c r="V86">
        <v>1</v>
      </c>
      <c r="W86">
        <v>0.2</v>
      </c>
      <c r="X86" s="15">
        <v>72</v>
      </c>
    </row>
    <row r="87" spans="2:42" x14ac:dyDescent="0.25">
      <c r="B87" s="24" t="s">
        <v>28</v>
      </c>
      <c r="C87" s="15" t="s">
        <v>106</v>
      </c>
      <c r="D87" s="15">
        <v>0</v>
      </c>
      <c r="E87" s="15" t="s">
        <v>124</v>
      </c>
      <c r="F87" s="21">
        <v>46097</v>
      </c>
      <c r="G87" s="22">
        <v>0.60069444444444398</v>
      </c>
      <c r="H87" s="23">
        <v>7.7033936636626699</v>
      </c>
      <c r="I87" s="23">
        <f>(Tabelle1[[#This Row],[eingestellter 
Gasstrom]]*1.2693-2.457)*101325/Tabelle1[[#This Row],[Umgebungsdruck]]*(Tabelle1[[#This Row],[Umgebungstemperatur]]+273.15)/273.15</f>
        <v>8.0126568473975954</v>
      </c>
      <c r="J87" s="30">
        <f>Tabelle1[[#This Row],[Realer Gasstrom]]/60</f>
        <v>0.13354428078995992</v>
      </c>
      <c r="K87" s="15">
        <f>Tabelle1[[#This Row],[Flüssigkeitsgeschwindigkeit]]*60</f>
        <v>6.66</v>
      </c>
      <c r="L87" s="15">
        <v>0.111</v>
      </c>
      <c r="M87" s="15">
        <v>21.9</v>
      </c>
      <c r="N87" s="15">
        <v>100000</v>
      </c>
      <c r="O87" s="15">
        <v>0.6</v>
      </c>
      <c r="P87" s="15">
        <v>1</v>
      </c>
      <c r="R87" s="19" t="s">
        <v>25</v>
      </c>
      <c r="S87" s="15" t="s">
        <v>26</v>
      </c>
      <c r="T87">
        <v>1</v>
      </c>
      <c r="U87">
        <v>0.6</v>
      </c>
      <c r="V87">
        <v>1</v>
      </c>
      <c r="W87">
        <v>0.2</v>
      </c>
      <c r="X87" s="15">
        <v>72</v>
      </c>
    </row>
    <row r="88" spans="2:42" x14ac:dyDescent="0.25">
      <c r="B88" s="24" t="s">
        <v>28</v>
      </c>
      <c r="C88" s="15" t="s">
        <v>106</v>
      </c>
      <c r="D88" s="15">
        <v>0</v>
      </c>
      <c r="E88" s="15" t="s">
        <v>125</v>
      </c>
      <c r="F88" s="21">
        <v>46097</v>
      </c>
      <c r="G88" s="22">
        <v>0.60138888888888897</v>
      </c>
      <c r="H88" s="23">
        <v>7.7033936636626699</v>
      </c>
      <c r="I88" s="23">
        <f>(Tabelle1[[#This Row],[eingestellter 
Gasstrom]]*1.2693-2.457)*101325/Tabelle1[[#This Row],[Umgebungsdruck]]*(Tabelle1[[#This Row],[Umgebungstemperatur]]+273.15)/273.15</f>
        <v>8.0126568473975954</v>
      </c>
      <c r="J88" s="30">
        <f>Tabelle1[[#This Row],[Realer Gasstrom]]/60</f>
        <v>0.13354428078995992</v>
      </c>
      <c r="K88" s="15">
        <f>Tabelle1[[#This Row],[Flüssigkeitsgeschwindigkeit]]*60</f>
        <v>3.36</v>
      </c>
      <c r="L88" s="15">
        <v>5.6000000000000001E-2</v>
      </c>
      <c r="M88" s="15">
        <v>21.9</v>
      </c>
      <c r="N88" s="15">
        <v>100000</v>
      </c>
      <c r="O88" s="15">
        <v>0.6</v>
      </c>
      <c r="P88" s="15">
        <v>1</v>
      </c>
      <c r="R88" s="19" t="s">
        <v>25</v>
      </c>
      <c r="S88" s="15" t="s">
        <v>26</v>
      </c>
      <c r="T88">
        <v>1</v>
      </c>
      <c r="U88">
        <v>0.6</v>
      </c>
      <c r="V88">
        <v>1</v>
      </c>
      <c r="W88">
        <v>0.2</v>
      </c>
      <c r="X88" s="15">
        <v>72</v>
      </c>
    </row>
    <row r="89" spans="2:42" x14ac:dyDescent="0.25">
      <c r="B89" s="25" t="s">
        <v>31</v>
      </c>
      <c r="C89" s="15" t="s">
        <v>106</v>
      </c>
      <c r="D89" s="15">
        <v>0</v>
      </c>
      <c r="E89" s="15" t="s">
        <v>126</v>
      </c>
      <c r="F89" s="21">
        <v>46097</v>
      </c>
      <c r="G89" s="22">
        <v>0.60763888888888895</v>
      </c>
      <c r="H89" s="23">
        <v>10.4868564023792</v>
      </c>
      <c r="I89" s="23">
        <f>(Tabelle1[[#This Row],[eingestellter 
Gasstrom]]*1.2693-2.457)*101325/Tabelle1[[#This Row],[Umgebungsdruck]]*(Tabelle1[[#This Row],[Umgebungstemperatur]]+273.15)/273.15</f>
        <v>11.899668453954565</v>
      </c>
      <c r="J89" s="30">
        <f>Tabelle1[[#This Row],[Realer Gasstrom]]/60</f>
        <v>0.19832780756590943</v>
      </c>
      <c r="K89" s="15">
        <f>Tabelle1[[#This Row],[Flüssigkeitsgeschwindigkeit]]*60</f>
        <v>0.6</v>
      </c>
      <c r="L89" s="15">
        <v>0.01</v>
      </c>
      <c r="M89" s="15">
        <v>22.4</v>
      </c>
      <c r="N89" s="15">
        <v>100000</v>
      </c>
      <c r="O89" s="15">
        <v>0.7</v>
      </c>
      <c r="P89" s="15">
        <v>1</v>
      </c>
      <c r="R89" s="19" t="s">
        <v>25</v>
      </c>
      <c r="S89" s="15" t="s">
        <v>26</v>
      </c>
      <c r="T89">
        <v>1</v>
      </c>
      <c r="U89">
        <v>0.6</v>
      </c>
      <c r="V89">
        <v>1</v>
      </c>
      <c r="W89">
        <v>0.2</v>
      </c>
      <c r="X89" s="15">
        <v>72</v>
      </c>
    </row>
    <row r="90" spans="2:42" x14ac:dyDescent="0.25">
      <c r="B90" s="24" t="s">
        <v>28</v>
      </c>
      <c r="C90" s="15" t="s">
        <v>106</v>
      </c>
      <c r="D90" s="15">
        <v>0</v>
      </c>
      <c r="E90" s="15" t="s">
        <v>127</v>
      </c>
      <c r="F90" s="21">
        <v>46097</v>
      </c>
      <c r="G90" s="22">
        <v>0.60902777777777795</v>
      </c>
      <c r="H90" s="23">
        <v>10.4868564023792</v>
      </c>
      <c r="I90" s="23">
        <f>(Tabelle1[[#This Row],[eingestellter 
Gasstrom]]*1.2693-2.457)*101325/Tabelle1[[#This Row],[Umgebungsdruck]]*(Tabelle1[[#This Row],[Umgebungstemperatur]]+273.15)/273.15</f>
        <v>11.899668453954565</v>
      </c>
      <c r="J90" s="30">
        <f>Tabelle1[[#This Row],[Realer Gasstrom]]/60</f>
        <v>0.19832780756590943</v>
      </c>
      <c r="K90" s="15">
        <f>Tabelle1[[#This Row],[Flüssigkeitsgeschwindigkeit]]*60</f>
        <v>1.2</v>
      </c>
      <c r="L90" s="15">
        <v>0.02</v>
      </c>
      <c r="M90" s="15">
        <v>22.4</v>
      </c>
      <c r="N90" s="15">
        <v>100000</v>
      </c>
      <c r="O90" s="15">
        <v>0.7</v>
      </c>
      <c r="P90" s="15">
        <v>1</v>
      </c>
      <c r="R90" s="19" t="s">
        <v>25</v>
      </c>
      <c r="S90" s="15" t="s">
        <v>26</v>
      </c>
      <c r="T90">
        <v>1</v>
      </c>
      <c r="U90">
        <v>0.6</v>
      </c>
      <c r="V90">
        <v>1</v>
      </c>
      <c r="W90">
        <v>0.2</v>
      </c>
      <c r="X90" s="15">
        <v>72</v>
      </c>
    </row>
    <row r="91" spans="2:42" x14ac:dyDescent="0.25">
      <c r="B91" s="24" t="s">
        <v>28</v>
      </c>
      <c r="C91" s="15" t="s">
        <v>106</v>
      </c>
      <c r="D91" s="15">
        <v>0</v>
      </c>
      <c r="E91" s="15" t="s">
        <v>128</v>
      </c>
      <c r="F91" s="21">
        <v>46097</v>
      </c>
      <c r="G91" s="22">
        <v>0.61041666666666705</v>
      </c>
      <c r="H91" s="23">
        <v>10.4868564023792</v>
      </c>
      <c r="I91" s="23">
        <f>(Tabelle1[[#This Row],[eingestellter 
Gasstrom]]*1.2693-2.457)*101325/Tabelle1[[#This Row],[Umgebungsdruck]]*(Tabelle1[[#This Row],[Umgebungstemperatur]]+273.15)/273.15</f>
        <v>11.899668453954565</v>
      </c>
      <c r="J91" s="30">
        <f>Tabelle1[[#This Row],[Realer Gasstrom]]/60</f>
        <v>0.19832780756590943</v>
      </c>
      <c r="K91" s="15">
        <f>Tabelle1[[#This Row],[Flüssigkeitsgeschwindigkeit]]*60</f>
        <v>3.36</v>
      </c>
      <c r="L91" s="15">
        <v>5.6000000000000001E-2</v>
      </c>
      <c r="M91" s="15">
        <v>22.4</v>
      </c>
      <c r="N91" s="15">
        <v>100000</v>
      </c>
      <c r="O91" s="15">
        <v>0.7</v>
      </c>
      <c r="P91" s="15">
        <v>1</v>
      </c>
      <c r="R91" s="19" t="s">
        <v>25</v>
      </c>
      <c r="S91" s="15" t="s">
        <v>26</v>
      </c>
      <c r="T91">
        <v>1</v>
      </c>
      <c r="U91">
        <v>0.6</v>
      </c>
      <c r="V91">
        <v>1</v>
      </c>
      <c r="W91">
        <v>0.2</v>
      </c>
      <c r="X91" s="15">
        <v>72</v>
      </c>
      <c r="AN91" s="27" t="s">
        <v>38</v>
      </c>
      <c r="AO91" s="28">
        <v>0.19</v>
      </c>
      <c r="AP91" s="28">
        <v>0.17</v>
      </c>
    </row>
    <row r="92" spans="2:42" x14ac:dyDescent="0.25">
      <c r="B92" s="24" t="s">
        <v>28</v>
      </c>
      <c r="C92" s="15" t="s">
        <v>106</v>
      </c>
      <c r="D92" s="15">
        <v>0</v>
      </c>
      <c r="E92" s="15" t="s">
        <v>129</v>
      </c>
      <c r="F92" s="21">
        <v>46097</v>
      </c>
      <c r="G92" s="22">
        <v>0.61111111111111105</v>
      </c>
      <c r="H92" s="23">
        <v>10.4868564023792</v>
      </c>
      <c r="I92" s="23">
        <f>(Tabelle1[[#This Row],[eingestellter 
Gasstrom]]*1.2693-2.457)*101325/Tabelle1[[#This Row],[Umgebungsdruck]]*(Tabelle1[[#This Row],[Umgebungstemperatur]]+273.15)/273.15</f>
        <v>11.899668453954565</v>
      </c>
      <c r="J92" s="30">
        <f>Tabelle1[[#This Row],[Realer Gasstrom]]/60</f>
        <v>0.19832780756590943</v>
      </c>
      <c r="K92" s="15">
        <f>Tabelle1[[#This Row],[Flüssigkeitsgeschwindigkeit]]*60</f>
        <v>6.66</v>
      </c>
      <c r="L92" s="15">
        <v>0.111</v>
      </c>
      <c r="M92" s="15">
        <v>22.4</v>
      </c>
      <c r="N92" s="15">
        <v>100000</v>
      </c>
      <c r="O92" s="15">
        <v>0.7</v>
      </c>
      <c r="P92" s="15">
        <v>1</v>
      </c>
      <c r="R92" s="19" t="s">
        <v>25</v>
      </c>
      <c r="S92" s="15" t="s">
        <v>26</v>
      </c>
      <c r="T92">
        <v>1</v>
      </c>
      <c r="U92">
        <v>0.6</v>
      </c>
      <c r="V92">
        <v>1</v>
      </c>
      <c r="W92">
        <v>0.2</v>
      </c>
      <c r="X92" s="15">
        <v>72</v>
      </c>
      <c r="AN92" s="27" t="s">
        <v>38</v>
      </c>
      <c r="AO92" s="29">
        <v>0.19</v>
      </c>
      <c r="AP92" s="29">
        <v>0.15</v>
      </c>
    </row>
    <row r="93" spans="2:42" x14ac:dyDescent="0.25">
      <c r="B93" s="24" t="s">
        <v>28</v>
      </c>
      <c r="C93" s="15" t="s">
        <v>106</v>
      </c>
      <c r="D93" s="15">
        <v>0</v>
      </c>
      <c r="E93" s="15" t="s">
        <v>130</v>
      </c>
      <c r="F93" s="21">
        <v>46097</v>
      </c>
      <c r="G93" s="22">
        <v>0.61250000000000004</v>
      </c>
      <c r="H93" s="23">
        <v>10.4868564023792</v>
      </c>
      <c r="I93" s="23">
        <f>(Tabelle1[[#This Row],[eingestellter 
Gasstrom]]*1.2693-2.457)*101325/Tabelle1[[#This Row],[Umgebungsdruck]]*(Tabelle1[[#This Row],[Umgebungstemperatur]]+273.15)/273.15</f>
        <v>11.899668453954565</v>
      </c>
      <c r="J93" s="30">
        <f>Tabelle1[[#This Row],[Realer Gasstrom]]/60</f>
        <v>0.19832780756590943</v>
      </c>
      <c r="K93" s="15">
        <f>Tabelle1[[#This Row],[Flüssigkeitsgeschwindigkeit]]*60</f>
        <v>10.020000000000001</v>
      </c>
      <c r="L93" s="15">
        <v>0.16700000000000001</v>
      </c>
      <c r="M93" s="15">
        <v>22.4</v>
      </c>
      <c r="N93" s="15">
        <v>100000</v>
      </c>
      <c r="O93" s="15">
        <v>0.7</v>
      </c>
      <c r="P93" s="15">
        <v>1</v>
      </c>
      <c r="R93" s="19" t="s">
        <v>25</v>
      </c>
      <c r="S93" s="15" t="s">
        <v>26</v>
      </c>
      <c r="T93">
        <v>1</v>
      </c>
      <c r="U93">
        <v>0.6</v>
      </c>
      <c r="V93">
        <v>1</v>
      </c>
      <c r="W93">
        <v>0.2</v>
      </c>
      <c r="X93" s="15">
        <v>72</v>
      </c>
      <c r="AN93" s="27" t="s">
        <v>38</v>
      </c>
      <c r="AO93" s="29">
        <v>0.15</v>
      </c>
      <c r="AP93" s="29">
        <v>0.1</v>
      </c>
    </row>
    <row r="94" spans="2:42" x14ac:dyDescent="0.25">
      <c r="B94" s="24" t="s">
        <v>28</v>
      </c>
      <c r="C94" s="15" t="s">
        <v>106</v>
      </c>
      <c r="D94" s="15">
        <v>0</v>
      </c>
      <c r="E94" s="15" t="s">
        <v>131</v>
      </c>
      <c r="F94" s="21">
        <v>46097</v>
      </c>
      <c r="G94" s="22">
        <v>0.61319444444444504</v>
      </c>
      <c r="H94" s="23">
        <v>10.4868564023792</v>
      </c>
      <c r="I94" s="23">
        <f>(Tabelle1[[#This Row],[eingestellter 
Gasstrom]]*1.2693-2.457)*101325/Tabelle1[[#This Row],[Umgebungsdruck]]*(Tabelle1[[#This Row],[Umgebungstemperatur]]+273.15)/273.15</f>
        <v>11.899668453954565</v>
      </c>
      <c r="J94" s="30">
        <f>Tabelle1[[#This Row],[Realer Gasstrom]]/60</f>
        <v>0.19832780756590943</v>
      </c>
      <c r="K94" s="15">
        <f>Tabelle1[[#This Row],[Flüssigkeitsgeschwindigkeit]]*60</f>
        <v>11.64</v>
      </c>
      <c r="L94" s="15">
        <v>0.19400000000000001</v>
      </c>
      <c r="M94" s="15">
        <v>22.4</v>
      </c>
      <c r="N94" s="15">
        <v>100000</v>
      </c>
      <c r="O94" s="15">
        <v>0.7</v>
      </c>
      <c r="P94" s="15">
        <v>1</v>
      </c>
      <c r="R94" s="19" t="s">
        <v>25</v>
      </c>
      <c r="S94" s="15" t="s">
        <v>26</v>
      </c>
      <c r="T94">
        <v>1</v>
      </c>
      <c r="U94">
        <v>0.6</v>
      </c>
      <c r="V94">
        <v>1</v>
      </c>
      <c r="W94">
        <v>0.2</v>
      </c>
      <c r="X94" s="15">
        <v>72</v>
      </c>
      <c r="AJ94" s="24" t="s">
        <v>28</v>
      </c>
      <c r="AK94" s="28">
        <v>0.19</v>
      </c>
      <c r="AL94" s="28">
        <v>0.1</v>
      </c>
      <c r="AN94" s="27" t="s">
        <v>38</v>
      </c>
      <c r="AO94" s="28">
        <v>0.11</v>
      </c>
      <c r="AP94" s="28">
        <v>0.1</v>
      </c>
    </row>
    <row r="95" spans="2:42" x14ac:dyDescent="0.25">
      <c r="B95" s="24" t="s">
        <v>28</v>
      </c>
      <c r="C95" s="15" t="s">
        <v>106</v>
      </c>
      <c r="D95" s="15">
        <v>0</v>
      </c>
      <c r="E95" s="15" t="s">
        <v>132</v>
      </c>
      <c r="F95" s="21">
        <v>46097</v>
      </c>
      <c r="G95" s="22">
        <v>0.61388888888888904</v>
      </c>
      <c r="H95" s="23">
        <v>10.4868564023792</v>
      </c>
      <c r="I95" s="23">
        <f>(Tabelle1[[#This Row],[eingestellter 
Gasstrom]]*1.2693-2.457)*101325/Tabelle1[[#This Row],[Umgebungsdruck]]*(Tabelle1[[#This Row],[Umgebungstemperatur]]+273.15)/273.15</f>
        <v>11.899668453954565</v>
      </c>
      <c r="J95" s="30">
        <f>Tabelle1[[#This Row],[Realer Gasstrom]]/60</f>
        <v>0.19832780756590943</v>
      </c>
      <c r="K95" s="15">
        <f>Tabelle1[[#This Row],[Flüssigkeitsgeschwindigkeit]]*60</f>
        <v>15</v>
      </c>
      <c r="L95" s="15">
        <v>0.25</v>
      </c>
      <c r="M95" s="15">
        <v>22.4</v>
      </c>
      <c r="N95" s="15">
        <v>100000</v>
      </c>
      <c r="O95" s="15">
        <v>0.7</v>
      </c>
      <c r="P95" s="15">
        <v>1</v>
      </c>
      <c r="R95" s="19" t="s">
        <v>25</v>
      </c>
      <c r="S95" s="15" t="s">
        <v>26</v>
      </c>
      <c r="T95">
        <v>1</v>
      </c>
      <c r="U95">
        <v>0.6</v>
      </c>
      <c r="V95">
        <v>1</v>
      </c>
      <c r="W95">
        <v>0.2</v>
      </c>
      <c r="X95" s="15">
        <v>72</v>
      </c>
      <c r="AJ95" s="24" t="s">
        <v>28</v>
      </c>
      <c r="AK95" s="29">
        <v>0.19</v>
      </c>
      <c r="AL95" s="29">
        <v>0.08</v>
      </c>
      <c r="AN95" s="27" t="s">
        <v>38</v>
      </c>
      <c r="AO95" s="29">
        <v>0.11</v>
      </c>
      <c r="AP95" s="29">
        <v>0.08</v>
      </c>
    </row>
    <row r="96" spans="2:42" x14ac:dyDescent="0.25">
      <c r="B96" s="24" t="s">
        <v>28</v>
      </c>
      <c r="C96" s="15" t="s">
        <v>106</v>
      </c>
      <c r="D96" s="15">
        <v>0</v>
      </c>
      <c r="E96" s="15" t="s">
        <v>133</v>
      </c>
      <c r="F96" s="21">
        <v>46097</v>
      </c>
      <c r="G96" s="22">
        <v>0.61736111111111103</v>
      </c>
      <c r="H96" s="23">
        <v>10.4868564023792</v>
      </c>
      <c r="I96" s="23">
        <f>(Tabelle1[[#This Row],[eingestellter 
Gasstrom]]*1.2693-2.457)*101325/Tabelle1[[#This Row],[Umgebungsdruck]]*(Tabelle1[[#This Row],[Umgebungstemperatur]]+273.15)/273.15</f>
        <v>11.899668453954565</v>
      </c>
      <c r="J96" s="30">
        <f>Tabelle1[[#This Row],[Realer Gasstrom]]/60</f>
        <v>0.19832780756590943</v>
      </c>
      <c r="K96" s="15">
        <f>Tabelle1[[#This Row],[Flüssigkeitsgeschwindigkeit]]*60</f>
        <v>24</v>
      </c>
      <c r="L96" s="15">
        <v>0.4</v>
      </c>
      <c r="M96" s="15">
        <v>22.4</v>
      </c>
      <c r="N96" s="15">
        <v>100000</v>
      </c>
      <c r="O96" s="15">
        <v>0.7</v>
      </c>
      <c r="P96" s="15">
        <v>1</v>
      </c>
      <c r="R96" s="19" t="s">
        <v>25</v>
      </c>
      <c r="S96" s="15" t="s">
        <v>26</v>
      </c>
      <c r="T96">
        <v>1</v>
      </c>
      <c r="U96">
        <v>0.6</v>
      </c>
      <c r="V96">
        <v>1</v>
      </c>
      <c r="W96">
        <v>0.2</v>
      </c>
      <c r="X96" s="15">
        <v>72</v>
      </c>
      <c r="AJ96" s="24" t="s">
        <v>28</v>
      </c>
      <c r="AK96" s="28">
        <v>0.19</v>
      </c>
      <c r="AL96" s="28">
        <v>0.06</v>
      </c>
      <c r="AN96" s="27" t="s">
        <v>38</v>
      </c>
      <c r="AO96" s="29">
        <v>7.0000000000000007E-2</v>
      </c>
      <c r="AP96" s="29">
        <v>0.1</v>
      </c>
    </row>
    <row r="97" spans="2:42" x14ac:dyDescent="0.25">
      <c r="B97" s="27" t="s">
        <v>134</v>
      </c>
      <c r="C97" s="15" t="s">
        <v>106</v>
      </c>
      <c r="D97" s="15">
        <v>0</v>
      </c>
      <c r="E97" s="15" t="s">
        <v>135</v>
      </c>
      <c r="F97" s="21">
        <v>46097</v>
      </c>
      <c r="G97" s="22">
        <v>0.61944444444444502</v>
      </c>
      <c r="H97" s="23">
        <v>10.4868564023792</v>
      </c>
      <c r="I97" s="23">
        <f>(Tabelle1[[#This Row],[eingestellter 
Gasstrom]]*1.2693-2.457)*101325/Tabelle1[[#This Row],[Umgebungsdruck]]*(Tabelle1[[#This Row],[Umgebungstemperatur]]+273.15)/273.15</f>
        <v>11.899668453954565</v>
      </c>
      <c r="J97" s="30">
        <f>Tabelle1[[#This Row],[Realer Gasstrom]]/60</f>
        <v>0.19832780756590943</v>
      </c>
      <c r="K97" s="15">
        <f>Tabelle1[[#This Row],[Flüssigkeitsgeschwindigkeit]]*60</f>
        <v>30</v>
      </c>
      <c r="L97" s="15">
        <v>0.5</v>
      </c>
      <c r="M97" s="15">
        <v>22.4</v>
      </c>
      <c r="N97" s="15">
        <v>100000</v>
      </c>
      <c r="O97" s="15">
        <v>0.7</v>
      </c>
      <c r="P97" s="15">
        <v>1</v>
      </c>
      <c r="R97" s="19" t="s">
        <v>25</v>
      </c>
      <c r="S97" s="15" t="s">
        <v>26</v>
      </c>
      <c r="T97">
        <v>1</v>
      </c>
      <c r="U97">
        <v>0.6</v>
      </c>
      <c r="V97">
        <v>1</v>
      </c>
      <c r="W97">
        <v>0.2</v>
      </c>
      <c r="X97" s="15">
        <v>72</v>
      </c>
      <c r="AJ97" s="24" t="s">
        <v>28</v>
      </c>
      <c r="AK97" s="29">
        <v>0.19</v>
      </c>
      <c r="AL97" s="29">
        <v>0.04</v>
      </c>
      <c r="AN97" s="27" t="s">
        <v>38</v>
      </c>
      <c r="AO97" s="28">
        <v>7.0000000000000007E-2</v>
      </c>
      <c r="AP97" s="28">
        <v>0.08</v>
      </c>
    </row>
    <row r="98" spans="2:42" x14ac:dyDescent="0.25">
      <c r="B98" s="25" t="s">
        <v>31</v>
      </c>
      <c r="C98" s="15" t="s">
        <v>106</v>
      </c>
      <c r="D98" s="15">
        <v>0</v>
      </c>
      <c r="E98" s="15" t="s">
        <v>136</v>
      </c>
      <c r="F98" s="21">
        <v>46097</v>
      </c>
      <c r="G98" s="22">
        <v>0.62222222222222201</v>
      </c>
      <c r="H98" s="23">
        <v>13.2833514430137</v>
      </c>
      <c r="I98" s="23">
        <f>(Tabelle1[[#This Row],[eingestellter 
Gasstrom]]*1.2693-2.457)*101325/Tabelle1[[#This Row],[Umgebungsdruck]]*(Tabelle1[[#This Row],[Umgebungstemperatur]]+273.15)/273.15</f>
        <v>15.791237181598968</v>
      </c>
      <c r="J98" s="30">
        <f>Tabelle1[[#This Row],[Realer Gasstrom]]/60</f>
        <v>0.26318728635998279</v>
      </c>
      <c r="K98" s="15">
        <f>Tabelle1[[#This Row],[Flüssigkeitsgeschwindigkeit]]*60</f>
        <v>0.6</v>
      </c>
      <c r="L98" s="15">
        <v>0.01</v>
      </c>
      <c r="M98" s="15">
        <v>22.4</v>
      </c>
      <c r="N98" s="15">
        <v>100000</v>
      </c>
      <c r="O98" s="15">
        <v>0.8</v>
      </c>
      <c r="P98" s="15">
        <v>1</v>
      </c>
      <c r="R98" s="19" t="s">
        <v>25</v>
      </c>
      <c r="S98" s="15" t="s">
        <v>26</v>
      </c>
      <c r="T98">
        <v>1</v>
      </c>
      <c r="U98">
        <v>0.6</v>
      </c>
      <c r="V98">
        <v>1</v>
      </c>
      <c r="W98">
        <v>0.2</v>
      </c>
      <c r="X98" s="15">
        <v>72</v>
      </c>
      <c r="AJ98" s="24" t="s">
        <v>28</v>
      </c>
      <c r="AK98" s="28">
        <v>0.11</v>
      </c>
      <c r="AL98" s="28">
        <v>0.02</v>
      </c>
    </row>
    <row r="99" spans="2:42" x14ac:dyDescent="0.25">
      <c r="B99" s="24" t="s">
        <v>28</v>
      </c>
      <c r="C99" s="15" t="s">
        <v>106</v>
      </c>
      <c r="D99" s="15">
        <v>0</v>
      </c>
      <c r="E99" s="15" t="s">
        <v>137</v>
      </c>
      <c r="F99" s="21">
        <v>46097</v>
      </c>
      <c r="G99" s="22">
        <v>0.62291666666666701</v>
      </c>
      <c r="H99" s="23">
        <v>13.2833514430137</v>
      </c>
      <c r="I99" s="23">
        <f>(Tabelle1[[#This Row],[eingestellter 
Gasstrom]]*1.2693-2.457)*101325/Tabelle1[[#This Row],[Umgebungsdruck]]*(Tabelle1[[#This Row],[Umgebungstemperatur]]+273.15)/273.15</f>
        <v>15.791237181598968</v>
      </c>
      <c r="J99" s="30">
        <f>Tabelle1[[#This Row],[Realer Gasstrom]]/60</f>
        <v>0.26318728635998279</v>
      </c>
      <c r="K99" s="15">
        <f>Tabelle1[[#This Row],[Flüssigkeitsgeschwindigkeit]]*60</f>
        <v>1.2</v>
      </c>
      <c r="L99" s="15">
        <v>0.02</v>
      </c>
      <c r="M99" s="15">
        <v>22.4</v>
      </c>
      <c r="N99" s="15">
        <v>100000</v>
      </c>
      <c r="O99" s="15">
        <v>0.8</v>
      </c>
      <c r="P99" s="15">
        <v>1</v>
      </c>
      <c r="R99" s="19" t="s">
        <v>25</v>
      </c>
      <c r="S99" s="15" t="s">
        <v>26</v>
      </c>
      <c r="T99">
        <v>1</v>
      </c>
      <c r="U99">
        <v>0.6</v>
      </c>
      <c r="V99">
        <v>1</v>
      </c>
      <c r="W99">
        <v>0.2</v>
      </c>
      <c r="X99" s="15">
        <v>72</v>
      </c>
    </row>
    <row r="100" spans="2:42" x14ac:dyDescent="0.25">
      <c r="B100" s="24" t="s">
        <v>28</v>
      </c>
      <c r="C100" s="15" t="s">
        <v>106</v>
      </c>
      <c r="D100" s="15">
        <v>0</v>
      </c>
      <c r="E100" s="15" t="s">
        <v>138</v>
      </c>
      <c r="F100" s="21">
        <v>46097</v>
      </c>
      <c r="G100" s="22">
        <v>0.624305555555556</v>
      </c>
      <c r="H100" s="23">
        <v>13.2833514430137</v>
      </c>
      <c r="I100" s="23">
        <f>(Tabelle1[[#This Row],[eingestellter 
Gasstrom]]*1.2693-2.457)*101325/Tabelle1[[#This Row],[Umgebungsdruck]]*(Tabelle1[[#This Row],[Umgebungstemperatur]]+273.15)/273.15</f>
        <v>15.791237181598968</v>
      </c>
      <c r="J100" s="30">
        <f>Tabelle1[[#This Row],[Realer Gasstrom]]/60</f>
        <v>0.26318728635998279</v>
      </c>
      <c r="K100" s="15">
        <f>Tabelle1[[#This Row],[Flüssigkeitsgeschwindigkeit]]*60</f>
        <v>3.36</v>
      </c>
      <c r="L100" s="15">
        <v>5.6000000000000001E-2</v>
      </c>
      <c r="M100" s="15">
        <v>22.4</v>
      </c>
      <c r="N100" s="15">
        <v>100000</v>
      </c>
      <c r="O100" s="15">
        <v>0.8</v>
      </c>
      <c r="P100" s="15">
        <v>1</v>
      </c>
      <c r="R100" s="19" t="s">
        <v>25</v>
      </c>
      <c r="S100" s="15" t="s">
        <v>26</v>
      </c>
      <c r="T100">
        <v>1</v>
      </c>
      <c r="U100">
        <v>0.6</v>
      </c>
      <c r="V100">
        <v>1</v>
      </c>
      <c r="W100">
        <v>0.2</v>
      </c>
      <c r="X100" s="15">
        <v>72</v>
      </c>
    </row>
    <row r="101" spans="2:42" x14ac:dyDescent="0.25">
      <c r="B101" s="24" t="s">
        <v>28</v>
      </c>
      <c r="C101" s="15" t="s">
        <v>106</v>
      </c>
      <c r="D101" s="15">
        <v>0</v>
      </c>
      <c r="E101" s="15" t="s">
        <v>139</v>
      </c>
      <c r="F101" s="21">
        <v>46097</v>
      </c>
      <c r="G101" s="22">
        <v>0.625</v>
      </c>
      <c r="H101" s="23">
        <v>13.2833514430137</v>
      </c>
      <c r="I101" s="23">
        <f>(Tabelle1[[#This Row],[eingestellter 
Gasstrom]]*1.2693-2.457)*101325/Tabelle1[[#This Row],[Umgebungsdruck]]*(Tabelle1[[#This Row],[Umgebungstemperatur]]+273.15)/273.15</f>
        <v>15.791237181598968</v>
      </c>
      <c r="J101" s="30">
        <f>Tabelle1[[#This Row],[Realer Gasstrom]]/60</f>
        <v>0.26318728635998279</v>
      </c>
      <c r="K101" s="15">
        <f>Tabelle1[[#This Row],[Flüssigkeitsgeschwindigkeit]]*60</f>
        <v>6.66</v>
      </c>
      <c r="L101" s="15">
        <v>0.111</v>
      </c>
      <c r="M101" s="15">
        <v>22.4</v>
      </c>
      <c r="N101" s="15">
        <v>100000</v>
      </c>
      <c r="O101" s="15">
        <v>0.8</v>
      </c>
      <c r="P101" s="15">
        <v>1</v>
      </c>
      <c r="R101" s="19" t="s">
        <v>25</v>
      </c>
      <c r="S101" s="15" t="s">
        <v>26</v>
      </c>
      <c r="T101">
        <v>1</v>
      </c>
      <c r="U101">
        <v>0.6</v>
      </c>
      <c r="V101">
        <v>1</v>
      </c>
      <c r="W101">
        <v>0.2</v>
      </c>
      <c r="X101" s="15">
        <v>72</v>
      </c>
    </row>
    <row r="102" spans="2:42" x14ac:dyDescent="0.25">
      <c r="B102" s="24" t="s">
        <v>28</v>
      </c>
      <c r="C102" s="15" t="s">
        <v>106</v>
      </c>
      <c r="D102" s="15">
        <v>0</v>
      </c>
      <c r="E102" s="15" t="s">
        <v>140</v>
      </c>
      <c r="F102" s="21">
        <v>46097</v>
      </c>
      <c r="G102" s="22">
        <v>0.625694444444444</v>
      </c>
      <c r="H102" s="23">
        <v>13.2833514430137</v>
      </c>
      <c r="I102" s="23">
        <f>(Tabelle1[[#This Row],[eingestellter 
Gasstrom]]*1.2693-2.457)*101325/Tabelle1[[#This Row],[Umgebungsdruck]]*(Tabelle1[[#This Row],[Umgebungstemperatur]]+273.15)/273.15</f>
        <v>15.791237181598968</v>
      </c>
      <c r="J102" s="30">
        <f>Tabelle1[[#This Row],[Realer Gasstrom]]/60</f>
        <v>0.26318728635998279</v>
      </c>
      <c r="K102" s="15">
        <f>Tabelle1[[#This Row],[Flüssigkeitsgeschwindigkeit]]*60</f>
        <v>10.020000000000001</v>
      </c>
      <c r="L102" s="15">
        <v>0.16700000000000001</v>
      </c>
      <c r="M102" s="15">
        <v>22.4</v>
      </c>
      <c r="N102" s="15">
        <v>100000</v>
      </c>
      <c r="O102" s="15">
        <v>0.8</v>
      </c>
      <c r="P102" s="15">
        <v>1</v>
      </c>
      <c r="R102" s="19" t="s">
        <v>25</v>
      </c>
      <c r="S102" s="15" t="s">
        <v>26</v>
      </c>
      <c r="T102">
        <v>1</v>
      </c>
      <c r="U102">
        <v>0.6</v>
      </c>
      <c r="V102">
        <v>1</v>
      </c>
      <c r="W102">
        <v>0.2</v>
      </c>
      <c r="X102" s="15">
        <v>72</v>
      </c>
    </row>
    <row r="103" spans="2:42" x14ac:dyDescent="0.25">
      <c r="B103" s="24" t="s">
        <v>28</v>
      </c>
      <c r="C103" s="15" t="s">
        <v>106</v>
      </c>
      <c r="D103" s="15">
        <v>0</v>
      </c>
      <c r="E103" s="15" t="s">
        <v>141</v>
      </c>
      <c r="F103" s="21">
        <v>46097</v>
      </c>
      <c r="G103" s="22">
        <v>0.62708333333333299</v>
      </c>
      <c r="H103" s="23">
        <v>13.2833514430137</v>
      </c>
      <c r="I103" s="23">
        <f>(Tabelle1[[#This Row],[eingestellter 
Gasstrom]]*1.2693-2.457)*101325/Tabelle1[[#This Row],[Umgebungsdruck]]*(Tabelle1[[#This Row],[Umgebungstemperatur]]+273.15)/273.15</f>
        <v>15.791237181598968</v>
      </c>
      <c r="J103" s="30">
        <f>Tabelle1[[#This Row],[Realer Gasstrom]]/60</f>
        <v>0.26318728635998279</v>
      </c>
      <c r="K103" s="15">
        <f>Tabelle1[[#This Row],[Flüssigkeitsgeschwindigkeit]]*60</f>
        <v>11.64</v>
      </c>
      <c r="L103" s="15">
        <v>0.19400000000000001</v>
      </c>
      <c r="M103" s="15">
        <v>22.4</v>
      </c>
      <c r="N103" s="15">
        <v>100000</v>
      </c>
      <c r="O103" s="15">
        <v>0.8</v>
      </c>
      <c r="P103" s="15">
        <v>1</v>
      </c>
      <c r="R103" s="19" t="s">
        <v>25</v>
      </c>
      <c r="S103" s="15" t="s">
        <v>26</v>
      </c>
      <c r="T103">
        <v>1</v>
      </c>
      <c r="U103">
        <v>0.6</v>
      </c>
      <c r="V103">
        <v>1</v>
      </c>
      <c r="W103">
        <v>0.2</v>
      </c>
      <c r="X103" s="15">
        <v>72</v>
      </c>
    </row>
    <row r="104" spans="2:42" x14ac:dyDescent="0.25">
      <c r="B104" s="24" t="s">
        <v>28</v>
      </c>
      <c r="C104" s="15" t="s">
        <v>106</v>
      </c>
      <c r="D104" s="15">
        <v>0</v>
      </c>
      <c r="E104" s="15" t="s">
        <v>142</v>
      </c>
      <c r="F104" s="21">
        <v>46097</v>
      </c>
      <c r="G104" s="22">
        <v>0.62777777777777799</v>
      </c>
      <c r="H104" s="23">
        <v>13.2833514430137</v>
      </c>
      <c r="I104" s="23">
        <f>(Tabelle1[[#This Row],[eingestellter 
Gasstrom]]*1.2693-2.457)*101325/Tabelle1[[#This Row],[Umgebungsdruck]]*(Tabelle1[[#This Row],[Umgebungstemperatur]]+273.15)/273.15</f>
        <v>15.791237181598968</v>
      </c>
      <c r="J104" s="30">
        <f>Tabelle1[[#This Row],[Realer Gasstrom]]/60</f>
        <v>0.26318728635998279</v>
      </c>
      <c r="K104" s="15">
        <f>Tabelle1[[#This Row],[Flüssigkeitsgeschwindigkeit]]*60</f>
        <v>15</v>
      </c>
      <c r="L104" s="15">
        <v>0.25</v>
      </c>
      <c r="M104" s="15">
        <v>22.4</v>
      </c>
      <c r="N104" s="15">
        <v>100000</v>
      </c>
      <c r="O104" s="15">
        <v>0.8</v>
      </c>
      <c r="P104" s="15">
        <v>1</v>
      </c>
      <c r="R104" s="19" t="s">
        <v>25</v>
      </c>
      <c r="S104" s="15" t="s">
        <v>26</v>
      </c>
      <c r="T104">
        <v>1</v>
      </c>
      <c r="U104">
        <v>0.6</v>
      </c>
      <c r="V104">
        <v>1</v>
      </c>
      <c r="W104">
        <v>0.2</v>
      </c>
      <c r="X104" s="15">
        <v>72</v>
      </c>
    </row>
    <row r="105" spans="2:42" x14ac:dyDescent="0.25">
      <c r="B105" s="24" t="s">
        <v>28</v>
      </c>
      <c r="C105" s="15" t="s">
        <v>106</v>
      </c>
      <c r="D105" s="15">
        <v>0</v>
      </c>
      <c r="E105" s="15" t="s">
        <v>143</v>
      </c>
      <c r="F105" s="21">
        <v>46097</v>
      </c>
      <c r="G105" s="22">
        <v>0.62986111111111098</v>
      </c>
      <c r="H105" s="23">
        <v>13.2833514430137</v>
      </c>
      <c r="I105" s="23">
        <f>(Tabelle1[[#This Row],[eingestellter 
Gasstrom]]*1.2693-2.457)*101325/Tabelle1[[#This Row],[Umgebungsdruck]]*(Tabelle1[[#This Row],[Umgebungstemperatur]]+273.15)/273.15</f>
        <v>15.791237181598968</v>
      </c>
      <c r="J105" s="30">
        <f>Tabelle1[[#This Row],[Realer Gasstrom]]/60</f>
        <v>0.26318728635998279</v>
      </c>
      <c r="K105" s="15">
        <f>Tabelle1[[#This Row],[Flüssigkeitsgeschwindigkeit]]*60</f>
        <v>24</v>
      </c>
      <c r="L105" s="15">
        <v>0.4</v>
      </c>
      <c r="M105" s="15">
        <v>22.4</v>
      </c>
      <c r="N105" s="15">
        <v>100000</v>
      </c>
      <c r="O105" s="15">
        <v>0.8</v>
      </c>
      <c r="P105" s="15">
        <v>1</v>
      </c>
      <c r="R105" s="19" t="s">
        <v>25</v>
      </c>
      <c r="S105" s="15" t="s">
        <v>26</v>
      </c>
      <c r="T105">
        <v>1</v>
      </c>
      <c r="U105">
        <v>0.6</v>
      </c>
      <c r="V105">
        <v>1</v>
      </c>
      <c r="W105">
        <v>0.2</v>
      </c>
      <c r="X105" s="15">
        <v>72</v>
      </c>
    </row>
    <row r="106" spans="2:42" x14ac:dyDescent="0.25">
      <c r="B106" s="27" t="s">
        <v>134</v>
      </c>
      <c r="C106" s="15" t="s">
        <v>106</v>
      </c>
      <c r="D106" s="15">
        <v>0</v>
      </c>
      <c r="E106" s="15" t="s">
        <v>144</v>
      </c>
      <c r="F106" s="21">
        <v>46097</v>
      </c>
      <c r="G106" s="22">
        <v>0.63124999999999998</v>
      </c>
      <c r="H106" s="23">
        <v>13.2833514430137</v>
      </c>
      <c r="I106" s="23">
        <f>(Tabelle1[[#This Row],[eingestellter 
Gasstrom]]*1.2693-2.457)*101325/Tabelle1[[#This Row],[Umgebungsdruck]]*(Tabelle1[[#This Row],[Umgebungstemperatur]]+273.15)/273.15</f>
        <v>15.791237181598968</v>
      </c>
      <c r="J106" s="30">
        <f>Tabelle1[[#This Row],[Realer Gasstrom]]/60</f>
        <v>0.26318728635998279</v>
      </c>
      <c r="K106" s="15">
        <f>Tabelle1[[#This Row],[Flüssigkeitsgeschwindigkeit]]*60</f>
        <v>30</v>
      </c>
      <c r="L106" s="15">
        <v>0.5</v>
      </c>
      <c r="M106" s="15">
        <v>22.4</v>
      </c>
      <c r="N106" s="15">
        <v>100000</v>
      </c>
      <c r="O106" s="15">
        <v>0.8</v>
      </c>
      <c r="P106" s="15">
        <v>1</v>
      </c>
      <c r="R106" s="19" t="s">
        <v>25</v>
      </c>
      <c r="S106" s="15" t="s">
        <v>26</v>
      </c>
      <c r="T106">
        <v>1</v>
      </c>
      <c r="U106">
        <v>0.6</v>
      </c>
      <c r="V106">
        <v>1</v>
      </c>
      <c r="W106">
        <v>0.2</v>
      </c>
      <c r="X106" s="15">
        <v>72</v>
      </c>
    </row>
    <row r="107" spans="2:42" x14ac:dyDescent="0.25">
      <c r="B107" s="25" t="s">
        <v>31</v>
      </c>
      <c r="C107" s="15" t="s">
        <v>106</v>
      </c>
      <c r="D107" s="15">
        <v>0</v>
      </c>
      <c r="E107" s="15" t="s">
        <v>145</v>
      </c>
      <c r="F107" s="21">
        <v>46097</v>
      </c>
      <c r="G107" s="22">
        <v>0.63333333333333297</v>
      </c>
      <c r="H107" s="23">
        <v>2.09737128047585</v>
      </c>
      <c r="I107" s="23">
        <f>(Tabelle1[[#This Row],[eingestellter 
Gasstrom]]*1.2693-2.457)*101325/Tabelle1[[#This Row],[Umgebungsdruck]]*(Tabelle1[[#This Row],[Umgebungstemperatur]]+273.15)/273.15</f>
        <v>0.22496227102156982</v>
      </c>
      <c r="J107" s="30">
        <f>Tabelle1[[#This Row],[Realer Gasstrom]]/60</f>
        <v>3.7493711836928305E-3</v>
      </c>
      <c r="K107" s="15">
        <f>Tabelle1[[#This Row],[Flüssigkeitsgeschwindigkeit]]*60</f>
        <v>1.2</v>
      </c>
      <c r="L107" s="15">
        <v>0.02</v>
      </c>
      <c r="M107" s="15">
        <v>22.4</v>
      </c>
      <c r="N107" s="15">
        <v>100000</v>
      </c>
      <c r="O107" s="15">
        <v>0.4</v>
      </c>
      <c r="P107" s="15">
        <v>1</v>
      </c>
      <c r="R107" s="19" t="s">
        <v>25</v>
      </c>
      <c r="S107" s="15" t="s">
        <v>26</v>
      </c>
      <c r="T107">
        <v>1</v>
      </c>
      <c r="U107">
        <v>0.6</v>
      </c>
      <c r="V107">
        <v>1</v>
      </c>
      <c r="W107">
        <v>0.2</v>
      </c>
      <c r="X107" s="15">
        <v>72</v>
      </c>
      <c r="Z107" s="19">
        <f>100*11.4</f>
        <v>1140</v>
      </c>
    </row>
    <row r="108" spans="2:42" x14ac:dyDescent="0.25">
      <c r="B108" s="24" t="s">
        <v>28</v>
      </c>
      <c r="C108" s="15" t="s">
        <v>106</v>
      </c>
      <c r="D108" s="15">
        <v>0</v>
      </c>
      <c r="E108" s="15" t="s">
        <v>146</v>
      </c>
      <c r="F108" s="21">
        <v>46097</v>
      </c>
      <c r="G108" s="22">
        <v>0.63541666666666696</v>
      </c>
      <c r="H108" s="23">
        <v>2.09737128047585</v>
      </c>
      <c r="I108" s="23">
        <f>(Tabelle1[[#This Row],[eingestellter 
Gasstrom]]*1.2693-2.457)*101325/Tabelle1[[#This Row],[Umgebungsdruck]]*(Tabelle1[[#This Row],[Umgebungstemperatur]]+273.15)/273.15</f>
        <v>0.22496227102156982</v>
      </c>
      <c r="J108" s="30">
        <f>Tabelle1[[#This Row],[Realer Gasstrom]]/60</f>
        <v>3.7493711836928305E-3</v>
      </c>
      <c r="K108" s="15">
        <f>Tabelle1[[#This Row],[Flüssigkeitsgeschwindigkeit]]*60</f>
        <v>3.36</v>
      </c>
      <c r="L108" s="15">
        <v>5.6000000000000001E-2</v>
      </c>
      <c r="M108" s="15">
        <v>22.4</v>
      </c>
      <c r="N108" s="15">
        <v>100000</v>
      </c>
      <c r="O108" s="15">
        <v>0.4</v>
      </c>
      <c r="P108" s="15">
        <v>1</v>
      </c>
      <c r="R108" s="19" t="s">
        <v>25</v>
      </c>
      <c r="S108" s="15" t="s">
        <v>26</v>
      </c>
      <c r="T108">
        <v>1</v>
      </c>
      <c r="U108">
        <v>0.6</v>
      </c>
      <c r="V108">
        <v>1</v>
      </c>
      <c r="W108">
        <v>0.2</v>
      </c>
      <c r="X108" s="15">
        <v>72</v>
      </c>
    </row>
    <row r="109" spans="2:42" x14ac:dyDescent="0.25">
      <c r="B109" s="27" t="s">
        <v>38</v>
      </c>
      <c r="C109" s="15" t="s">
        <v>106</v>
      </c>
      <c r="D109" s="15">
        <v>0</v>
      </c>
      <c r="E109" s="15" t="s">
        <v>147</v>
      </c>
      <c r="F109" s="21">
        <v>46097</v>
      </c>
      <c r="G109" s="22">
        <v>0.63819444444444395</v>
      </c>
      <c r="H109" s="23">
        <v>2.09737128047585</v>
      </c>
      <c r="I109" s="23">
        <f>(Tabelle1[[#This Row],[eingestellter 
Gasstrom]]*1.2693-2.457)*101325/Tabelle1[[#This Row],[Umgebungsdruck]]*(Tabelle1[[#This Row],[Umgebungstemperatur]]+273.15)/273.15</f>
        <v>0.22496227102156982</v>
      </c>
      <c r="J109" s="30">
        <f>Tabelle1[[#This Row],[Realer Gasstrom]]/60</f>
        <v>3.7493711836928305E-3</v>
      </c>
      <c r="K109" s="15">
        <f>Tabelle1[[#This Row],[Flüssigkeitsgeschwindigkeit]]*60</f>
        <v>6.66</v>
      </c>
      <c r="L109" s="15">
        <v>0.111</v>
      </c>
      <c r="M109" s="15">
        <v>22.4</v>
      </c>
      <c r="N109" s="15">
        <v>100000</v>
      </c>
      <c r="O109" s="15">
        <v>0.4</v>
      </c>
      <c r="P109" s="15">
        <v>1</v>
      </c>
      <c r="R109" s="19" t="s">
        <v>25</v>
      </c>
      <c r="S109" s="15" t="s">
        <v>26</v>
      </c>
      <c r="T109">
        <v>1</v>
      </c>
      <c r="U109">
        <v>0.6</v>
      </c>
      <c r="V109">
        <v>1</v>
      </c>
      <c r="W109">
        <v>0.2</v>
      </c>
      <c r="X109" s="15">
        <v>72</v>
      </c>
    </row>
    <row r="110" spans="2:42" x14ac:dyDescent="0.25">
      <c r="B110" s="25" t="s">
        <v>31</v>
      </c>
      <c r="C110" s="15" t="s">
        <v>148</v>
      </c>
      <c r="D110" s="15">
        <v>182</v>
      </c>
      <c r="E110" s="15" t="s">
        <v>149</v>
      </c>
      <c r="F110" s="21">
        <v>46097</v>
      </c>
      <c r="G110" s="22">
        <v>0.70416666666666705</v>
      </c>
      <c r="H110" s="23">
        <v>2.1018938994077301</v>
      </c>
      <c r="I110" s="23">
        <f>(Tabelle1[[#This Row],[eingestellter 
Gasstrom]]*1.2693-2.457)*101325/Tabelle1[[#This Row],[Umgebungsdruck]]*(Tabelle1[[#This Row],[Umgebungstemperatur]]+273.15)/273.15</f>
        <v>0.23075830248601165</v>
      </c>
      <c r="J110" s="30">
        <f>Tabelle1[[#This Row],[Realer Gasstrom]]/60</f>
        <v>3.845971708100194E-3</v>
      </c>
      <c r="K110" s="15">
        <f>Tabelle1[[#This Row],[Flüssigkeitsgeschwindigkeit]]*60</f>
        <v>3.36</v>
      </c>
      <c r="L110" s="15">
        <v>5.6000000000000001E-2</v>
      </c>
      <c r="M110" s="15">
        <v>22</v>
      </c>
      <c r="N110" s="15">
        <v>100080</v>
      </c>
      <c r="O110" s="15">
        <v>0.4</v>
      </c>
      <c r="P110" s="15">
        <v>2</v>
      </c>
      <c r="Q110" s="22">
        <v>0.65625</v>
      </c>
      <c r="R110" s="19" t="s">
        <v>25</v>
      </c>
      <c r="S110" s="15" t="s">
        <v>26</v>
      </c>
      <c r="T110">
        <v>1</v>
      </c>
      <c r="U110">
        <v>0.6</v>
      </c>
      <c r="V110">
        <v>1</v>
      </c>
      <c r="W110">
        <v>0.2</v>
      </c>
      <c r="X110" s="15">
        <v>72</v>
      </c>
    </row>
    <row r="111" spans="2:42" x14ac:dyDescent="0.25">
      <c r="B111" s="24" t="s">
        <v>28</v>
      </c>
      <c r="C111" s="15" t="s">
        <v>148</v>
      </c>
      <c r="D111" s="15">
        <v>182</v>
      </c>
      <c r="E111" s="15" t="s">
        <v>150</v>
      </c>
      <c r="F111" s="21">
        <v>46097</v>
      </c>
      <c r="G111" s="22">
        <v>0.70694444444444404</v>
      </c>
      <c r="H111" s="23">
        <v>4.9044190986180496</v>
      </c>
      <c r="I111" s="23">
        <f>(Tabelle1[[#This Row],[eingestellter 
Gasstrom]]*1.2693-2.457)*101325/Tabelle1[[#This Row],[Umgebungsdruck]]*(Tabelle1[[#This Row],[Umgebungstemperatur]]+273.15)/273.15</f>
        <v>4.122327030130374</v>
      </c>
      <c r="J111" s="30">
        <f>Tabelle1[[#This Row],[Realer Gasstrom]]/60</f>
        <v>6.8705450502172902E-2</v>
      </c>
      <c r="K111" s="15">
        <f>Tabelle1[[#This Row],[Flüssigkeitsgeschwindigkeit]]*60</f>
        <v>1.2</v>
      </c>
      <c r="L111" s="15">
        <v>0.02</v>
      </c>
      <c r="M111" s="15">
        <v>22</v>
      </c>
      <c r="N111" s="15">
        <v>100080</v>
      </c>
      <c r="O111" s="15">
        <v>0.6</v>
      </c>
      <c r="P111" s="15">
        <v>2</v>
      </c>
      <c r="Q111" s="22"/>
      <c r="R111" s="19" t="s">
        <v>25</v>
      </c>
      <c r="S111" s="15" t="s">
        <v>26</v>
      </c>
      <c r="T111">
        <v>1</v>
      </c>
      <c r="U111">
        <v>0.6</v>
      </c>
      <c r="V111">
        <v>1</v>
      </c>
      <c r="W111">
        <v>0.2</v>
      </c>
      <c r="X111" s="15">
        <v>72</v>
      </c>
    </row>
    <row r="112" spans="2:42" x14ac:dyDescent="0.25">
      <c r="B112" s="24" t="s">
        <v>28</v>
      </c>
      <c r="C112" s="15" t="s">
        <v>148</v>
      </c>
      <c r="D112" s="15">
        <v>182</v>
      </c>
      <c r="E112" s="15" t="s">
        <v>151</v>
      </c>
      <c r="F112" s="21">
        <v>46097</v>
      </c>
      <c r="G112" s="22">
        <v>0.70972222222222203</v>
      </c>
      <c r="H112" s="23">
        <v>4.9044190986180496</v>
      </c>
      <c r="I112" s="23">
        <f>(Tabelle1[[#This Row],[eingestellter 
Gasstrom]]*1.2693-2.457)*101325/Tabelle1[[#This Row],[Umgebungsdruck]]*(Tabelle1[[#This Row],[Umgebungstemperatur]]+273.15)/273.15</f>
        <v>4.122327030130374</v>
      </c>
      <c r="J112" s="30">
        <f>Tabelle1[[#This Row],[Realer Gasstrom]]/60</f>
        <v>6.8705450502172902E-2</v>
      </c>
      <c r="K112" s="15">
        <f>Tabelle1[[#This Row],[Flüssigkeitsgeschwindigkeit]]*60</f>
        <v>3.36</v>
      </c>
      <c r="L112" s="15">
        <v>5.6000000000000001E-2</v>
      </c>
      <c r="M112" s="15">
        <v>22</v>
      </c>
      <c r="N112" s="15">
        <v>100080</v>
      </c>
      <c r="O112" s="15">
        <v>0.6</v>
      </c>
      <c r="P112" s="15">
        <v>2</v>
      </c>
      <c r="Q112" s="22"/>
      <c r="R112" s="19" t="s">
        <v>25</v>
      </c>
      <c r="S112" s="15" t="s">
        <v>26</v>
      </c>
      <c r="T112">
        <v>1</v>
      </c>
      <c r="U112">
        <v>0.6</v>
      </c>
      <c r="V112">
        <v>1</v>
      </c>
      <c r="W112">
        <v>0.2</v>
      </c>
      <c r="X112" s="15">
        <v>72</v>
      </c>
    </row>
    <row r="113" spans="2:24" x14ac:dyDescent="0.25">
      <c r="B113" s="20" t="s">
        <v>23</v>
      </c>
      <c r="C113" s="15" t="s">
        <v>148</v>
      </c>
      <c r="D113" s="15">
        <v>182</v>
      </c>
      <c r="E113" s="15" t="s">
        <v>152</v>
      </c>
      <c r="F113" s="21">
        <v>46097</v>
      </c>
      <c r="G113" s="22">
        <v>0.71180555555555602</v>
      </c>
      <c r="H113" s="23">
        <v>4.9044190986180496</v>
      </c>
      <c r="I113" s="23">
        <f>(Tabelle1[[#This Row],[eingestellter 
Gasstrom]]*1.2693-2.457)*101325/Tabelle1[[#This Row],[Umgebungsdruck]]*(Tabelle1[[#This Row],[Umgebungstemperatur]]+273.15)/273.15</f>
        <v>4.122327030130374</v>
      </c>
      <c r="J113" s="30">
        <f>Tabelle1[[#This Row],[Realer Gasstrom]]/60</f>
        <v>6.8705450502172902E-2</v>
      </c>
      <c r="K113" s="15">
        <f>Tabelle1[[#This Row],[Flüssigkeitsgeschwindigkeit]]*60</f>
        <v>6.66</v>
      </c>
      <c r="L113" s="15">
        <v>0.111</v>
      </c>
      <c r="M113" s="15">
        <v>22</v>
      </c>
      <c r="N113" s="15">
        <v>100080</v>
      </c>
      <c r="O113" s="15">
        <v>0.6</v>
      </c>
      <c r="P113" s="15">
        <v>2</v>
      </c>
      <c r="R113" s="19" t="s">
        <v>25</v>
      </c>
      <c r="S113" s="15" t="s">
        <v>26</v>
      </c>
      <c r="T113">
        <v>1</v>
      </c>
      <c r="U113">
        <v>0.6</v>
      </c>
      <c r="V113">
        <v>1</v>
      </c>
      <c r="W113">
        <v>0.2</v>
      </c>
      <c r="X113" s="15">
        <v>72</v>
      </c>
    </row>
    <row r="114" spans="2:24" x14ac:dyDescent="0.25">
      <c r="B114" s="24" t="s">
        <v>28</v>
      </c>
      <c r="C114" s="15" t="s">
        <v>148</v>
      </c>
      <c r="D114" s="15">
        <v>182</v>
      </c>
      <c r="E114" s="15" t="s">
        <v>153</v>
      </c>
      <c r="F114" s="21">
        <v>46097</v>
      </c>
      <c r="G114" s="22">
        <v>0.67013888888888895</v>
      </c>
      <c r="H114" s="23">
        <v>7.7069442978283602</v>
      </c>
      <c r="I114" s="23">
        <f>(Tabelle1[[#This Row],[eingestellter 
Gasstrom]]*1.2693-2.457)*101325/Tabelle1[[#This Row],[Umgebungsdruck]]*(Tabelle1[[#This Row],[Umgebungstemperatur]]+273.15)/273.15</f>
        <v>8.0138957577747263</v>
      </c>
      <c r="J114" s="30">
        <f>Tabelle1[[#This Row],[Realer Gasstrom]]/60</f>
        <v>0.13356492929624544</v>
      </c>
      <c r="K114" s="15">
        <f>Tabelle1[[#This Row],[Flüssigkeitsgeschwindigkeit]]*60</f>
        <v>1.2</v>
      </c>
      <c r="L114" s="15">
        <v>0.02</v>
      </c>
      <c r="M114" s="15">
        <v>22</v>
      </c>
      <c r="N114" s="15">
        <v>100080</v>
      </c>
      <c r="O114" s="15">
        <v>0.6</v>
      </c>
      <c r="P114" s="15">
        <v>2</v>
      </c>
      <c r="Q114" s="22"/>
      <c r="R114" s="19" t="s">
        <v>25</v>
      </c>
      <c r="S114" s="15" t="s">
        <v>26</v>
      </c>
      <c r="T114">
        <v>1</v>
      </c>
      <c r="U114">
        <v>0.6</v>
      </c>
      <c r="V114">
        <v>1</v>
      </c>
      <c r="W114">
        <v>0.2</v>
      </c>
      <c r="X114" s="15">
        <v>72</v>
      </c>
    </row>
    <row r="115" spans="2:24" x14ac:dyDescent="0.25">
      <c r="B115" s="24" t="s">
        <v>28</v>
      </c>
      <c r="C115" s="15" t="s">
        <v>148</v>
      </c>
      <c r="D115" s="15">
        <v>182</v>
      </c>
      <c r="E115" s="15" t="s">
        <v>154</v>
      </c>
      <c r="F115" s="21">
        <v>46097</v>
      </c>
      <c r="G115" s="22">
        <v>0.67361111111111105</v>
      </c>
      <c r="H115" s="23">
        <v>7.7069442978283602</v>
      </c>
      <c r="I115" s="23">
        <f>(Tabelle1[[#This Row],[eingestellter 
Gasstrom]]*1.2693-2.457)*101325/Tabelle1[[#This Row],[Umgebungsdruck]]*(Tabelle1[[#This Row],[Umgebungstemperatur]]+273.15)/273.15</f>
        <v>8.0138957577747263</v>
      </c>
      <c r="J115" s="30">
        <f>Tabelle1[[#This Row],[Realer Gasstrom]]/60</f>
        <v>0.13356492929624544</v>
      </c>
      <c r="K115" s="15">
        <f>Tabelle1[[#This Row],[Flüssigkeitsgeschwindigkeit]]*60</f>
        <v>3.36</v>
      </c>
      <c r="L115" s="15">
        <v>5.6000000000000001E-2</v>
      </c>
      <c r="M115" s="15">
        <v>22</v>
      </c>
      <c r="N115" s="15">
        <v>100080</v>
      </c>
      <c r="O115" s="15">
        <v>0.6</v>
      </c>
      <c r="P115" s="15">
        <v>2</v>
      </c>
      <c r="Q115" s="22"/>
      <c r="R115" s="19" t="s">
        <v>25</v>
      </c>
      <c r="S115" s="15" t="s">
        <v>26</v>
      </c>
      <c r="T115">
        <v>1</v>
      </c>
      <c r="U115">
        <v>0.6</v>
      </c>
      <c r="V115">
        <v>1</v>
      </c>
      <c r="W115">
        <v>0.2</v>
      </c>
      <c r="X115" s="15">
        <v>72</v>
      </c>
    </row>
    <row r="116" spans="2:24" x14ac:dyDescent="0.25">
      <c r="B116" s="24" t="s">
        <v>28</v>
      </c>
      <c r="C116" s="15" t="s">
        <v>148</v>
      </c>
      <c r="D116" s="15">
        <v>182</v>
      </c>
      <c r="E116" s="15" t="s">
        <v>155</v>
      </c>
      <c r="F116" s="21">
        <v>46097</v>
      </c>
      <c r="G116" s="22">
        <v>0.67430555555555605</v>
      </c>
      <c r="H116" s="23">
        <v>7.7069442978283602</v>
      </c>
      <c r="I116" s="23">
        <f>(Tabelle1[[#This Row],[eingestellter 
Gasstrom]]*1.2693-2.457)*101325/Tabelle1[[#This Row],[Umgebungsdruck]]*(Tabelle1[[#This Row],[Umgebungstemperatur]]+273.15)/273.15</f>
        <v>8.0138957577747263</v>
      </c>
      <c r="J116" s="30">
        <f>Tabelle1[[#This Row],[Realer Gasstrom]]/60</f>
        <v>0.13356492929624544</v>
      </c>
      <c r="K116" s="15">
        <f>Tabelle1[[#This Row],[Flüssigkeitsgeschwindigkeit]]*60</f>
        <v>6.66</v>
      </c>
      <c r="L116" s="15">
        <v>0.111</v>
      </c>
      <c r="M116" s="15">
        <v>22</v>
      </c>
      <c r="N116" s="15">
        <v>100080</v>
      </c>
      <c r="O116" s="15">
        <v>0.6</v>
      </c>
      <c r="P116" s="15">
        <v>2</v>
      </c>
      <c r="Q116" s="22"/>
      <c r="R116" s="19" t="s">
        <v>25</v>
      </c>
      <c r="S116" s="15" t="s">
        <v>26</v>
      </c>
      <c r="T116">
        <v>1</v>
      </c>
      <c r="U116">
        <v>0.6</v>
      </c>
      <c r="V116">
        <v>1</v>
      </c>
      <c r="W116">
        <v>0.2</v>
      </c>
      <c r="X116" s="15">
        <v>72</v>
      </c>
    </row>
    <row r="117" spans="2:24" x14ac:dyDescent="0.25">
      <c r="B117" s="24" t="s">
        <v>28</v>
      </c>
      <c r="C117" s="15" t="s">
        <v>148</v>
      </c>
      <c r="D117" s="15">
        <v>182</v>
      </c>
      <c r="E117" s="15" t="s">
        <v>156</v>
      </c>
      <c r="F117" s="21">
        <v>46097</v>
      </c>
      <c r="G117" s="22">
        <v>0.67708333333333304</v>
      </c>
      <c r="H117" s="23">
        <v>7.7069442978283602</v>
      </c>
      <c r="I117" s="23">
        <f>(Tabelle1[[#This Row],[eingestellter 
Gasstrom]]*1.2693-2.457)*101325/Tabelle1[[#This Row],[Umgebungsdruck]]*(Tabelle1[[#This Row],[Umgebungstemperatur]]+273.15)/273.15</f>
        <v>8.0138957577747263</v>
      </c>
      <c r="J117" s="30">
        <f>Tabelle1[[#This Row],[Realer Gasstrom]]/60</f>
        <v>0.13356492929624544</v>
      </c>
      <c r="K117" s="15">
        <f>Tabelle1[[#This Row],[Flüssigkeitsgeschwindigkeit]]*60</f>
        <v>10.020000000000001</v>
      </c>
      <c r="L117" s="15">
        <v>0.16700000000000001</v>
      </c>
      <c r="M117" s="15">
        <v>22</v>
      </c>
      <c r="N117" s="15">
        <v>100080</v>
      </c>
      <c r="O117" s="15">
        <v>0.6</v>
      </c>
      <c r="P117" s="15">
        <v>2</v>
      </c>
      <c r="R117" s="19" t="s">
        <v>25</v>
      </c>
      <c r="S117" s="15" t="s">
        <v>26</v>
      </c>
      <c r="T117">
        <v>1</v>
      </c>
      <c r="U117">
        <v>0.6</v>
      </c>
      <c r="V117">
        <v>1</v>
      </c>
      <c r="W117">
        <v>0.2</v>
      </c>
      <c r="X117" s="15">
        <v>72</v>
      </c>
    </row>
    <row r="118" spans="2:24" x14ac:dyDescent="0.25">
      <c r="B118" s="20" t="s">
        <v>23</v>
      </c>
      <c r="C118" s="15" t="s">
        <v>148</v>
      </c>
      <c r="D118" s="15">
        <v>182</v>
      </c>
      <c r="E118" s="15" t="s">
        <v>157</v>
      </c>
      <c r="F118" s="21">
        <v>46097</v>
      </c>
      <c r="G118" s="22">
        <v>0.67847222222222203</v>
      </c>
      <c r="H118" s="23">
        <v>7.7069442978283602</v>
      </c>
      <c r="I118" s="23">
        <f>(Tabelle1[[#This Row],[eingestellter 
Gasstrom]]*1.2693-2.457)*101325/Tabelle1[[#This Row],[Umgebungsdruck]]*(Tabelle1[[#This Row],[Umgebungstemperatur]]+273.15)/273.15</f>
        <v>8.0138957577747263</v>
      </c>
      <c r="J118" s="30">
        <f>Tabelle1[[#This Row],[Realer Gasstrom]]/60</f>
        <v>0.13356492929624544</v>
      </c>
      <c r="K118" s="15">
        <f>Tabelle1[[#This Row],[Flüssigkeitsgeschwindigkeit]]*60</f>
        <v>11.64</v>
      </c>
      <c r="L118" s="15">
        <v>0.19400000000000001</v>
      </c>
      <c r="M118" s="15">
        <v>22</v>
      </c>
      <c r="N118" s="15">
        <v>100080</v>
      </c>
      <c r="O118" s="15">
        <v>0.6</v>
      </c>
      <c r="P118" s="15">
        <v>2</v>
      </c>
      <c r="R118" s="19" t="s">
        <v>25</v>
      </c>
      <c r="S118" s="15" t="s">
        <v>26</v>
      </c>
      <c r="T118">
        <v>1</v>
      </c>
      <c r="U118">
        <v>0.6</v>
      </c>
      <c r="V118">
        <v>1</v>
      </c>
      <c r="W118">
        <v>0.2</v>
      </c>
      <c r="X118" s="15">
        <v>72</v>
      </c>
    </row>
    <row r="119" spans="2:24" x14ac:dyDescent="0.25">
      <c r="B119" s="25" t="s">
        <v>31</v>
      </c>
      <c r="C119" s="15" t="s">
        <v>148</v>
      </c>
      <c r="D119" s="15">
        <v>182</v>
      </c>
      <c r="E119" s="15" t="s">
        <v>158</v>
      </c>
      <c r="F119" s="21">
        <v>46097</v>
      </c>
      <c r="G119" s="22">
        <v>0.68125000000000002</v>
      </c>
      <c r="H119" s="23">
        <v>10.509469497038699</v>
      </c>
      <c r="I119" s="23">
        <f>(Tabelle1[[#This Row],[eingestellter 
Gasstrom]]*1.2693-2.457)*101325/Tabelle1[[#This Row],[Umgebungsdruck]]*(Tabelle1[[#This Row],[Umgebungstemperatur]]+273.15)/273.15</f>
        <v>11.905464485419117</v>
      </c>
      <c r="J119" s="30">
        <f>Tabelle1[[#This Row],[Realer Gasstrom]]/60</f>
        <v>0.19842440809031861</v>
      </c>
      <c r="K119" s="15">
        <f>Tabelle1[[#This Row],[Flüssigkeitsgeschwindigkeit]]*60</f>
        <v>1.2</v>
      </c>
      <c r="L119" s="15">
        <v>0.02</v>
      </c>
      <c r="M119" s="15">
        <v>22</v>
      </c>
      <c r="N119" s="15">
        <v>100080</v>
      </c>
      <c r="O119" s="15">
        <v>0.7</v>
      </c>
      <c r="P119" s="15">
        <v>2</v>
      </c>
      <c r="R119" s="19" t="s">
        <v>25</v>
      </c>
      <c r="S119" s="15" t="s">
        <v>26</v>
      </c>
      <c r="T119">
        <v>1</v>
      </c>
      <c r="U119">
        <v>0.6</v>
      </c>
      <c r="V119">
        <v>1</v>
      </c>
      <c r="W119">
        <v>0.2</v>
      </c>
      <c r="X119" s="15">
        <v>72</v>
      </c>
    </row>
    <row r="120" spans="2:24" x14ac:dyDescent="0.25">
      <c r="B120" s="24" t="s">
        <v>28</v>
      </c>
      <c r="C120" s="15" t="s">
        <v>148</v>
      </c>
      <c r="D120" s="15">
        <v>182</v>
      </c>
      <c r="E120" s="15" t="s">
        <v>159</v>
      </c>
      <c r="F120" s="21">
        <v>46097</v>
      </c>
      <c r="G120" s="22">
        <v>0.68263888888888902</v>
      </c>
      <c r="H120" s="23">
        <v>10.509469497038699</v>
      </c>
      <c r="I120" s="23">
        <f>(Tabelle1[[#This Row],[eingestellter 
Gasstrom]]*1.2693-2.457)*101325/Tabelle1[[#This Row],[Umgebungsdruck]]*(Tabelle1[[#This Row],[Umgebungstemperatur]]+273.15)/273.15</f>
        <v>11.905464485419117</v>
      </c>
      <c r="J120" s="30">
        <f>Tabelle1[[#This Row],[Realer Gasstrom]]/60</f>
        <v>0.19842440809031861</v>
      </c>
      <c r="K120" s="15">
        <f>Tabelle1[[#This Row],[Flüssigkeitsgeschwindigkeit]]*60</f>
        <v>3.36</v>
      </c>
      <c r="L120" s="15">
        <v>5.6000000000000001E-2</v>
      </c>
      <c r="M120" s="15">
        <v>22</v>
      </c>
      <c r="N120" s="15">
        <v>100080</v>
      </c>
      <c r="O120" s="15">
        <v>0.7</v>
      </c>
      <c r="P120" s="15">
        <v>2</v>
      </c>
      <c r="R120" s="19" t="s">
        <v>25</v>
      </c>
      <c r="S120" s="15" t="s">
        <v>26</v>
      </c>
      <c r="T120">
        <v>1</v>
      </c>
      <c r="U120">
        <v>0.6</v>
      </c>
      <c r="V120">
        <v>1</v>
      </c>
      <c r="W120">
        <v>0.2</v>
      </c>
      <c r="X120" s="15">
        <v>72</v>
      </c>
    </row>
    <row r="121" spans="2:24" x14ac:dyDescent="0.25">
      <c r="B121" s="24" t="s">
        <v>28</v>
      </c>
      <c r="C121" s="15" t="s">
        <v>148</v>
      </c>
      <c r="D121" s="15">
        <v>182</v>
      </c>
      <c r="E121" s="15" t="s">
        <v>160</v>
      </c>
      <c r="F121" s="21">
        <v>46097</v>
      </c>
      <c r="G121" s="22">
        <v>0.686805555555556</v>
      </c>
      <c r="H121" s="23">
        <v>10.509469497038699</v>
      </c>
      <c r="I121" s="23">
        <f>(Tabelle1[[#This Row],[eingestellter 
Gasstrom]]*1.2693-2.457)*101325/Tabelle1[[#This Row],[Umgebungsdruck]]*(Tabelle1[[#This Row],[Umgebungstemperatur]]+273.15)/273.15</f>
        <v>11.905464485419117</v>
      </c>
      <c r="J121" s="30">
        <f>Tabelle1[[#This Row],[Realer Gasstrom]]/60</f>
        <v>0.19842440809031861</v>
      </c>
      <c r="K121" s="15">
        <f>Tabelle1[[#This Row],[Flüssigkeitsgeschwindigkeit]]*60</f>
        <v>6.66</v>
      </c>
      <c r="L121" s="15">
        <v>0.111</v>
      </c>
      <c r="M121" s="15">
        <v>22</v>
      </c>
      <c r="N121" s="15">
        <v>100080</v>
      </c>
      <c r="O121" s="15">
        <v>0.7</v>
      </c>
      <c r="P121" s="15">
        <v>2</v>
      </c>
      <c r="R121" s="19" t="s">
        <v>25</v>
      </c>
      <c r="S121" s="15" t="s">
        <v>26</v>
      </c>
      <c r="T121">
        <v>1</v>
      </c>
      <c r="U121">
        <v>0.6</v>
      </c>
      <c r="V121">
        <v>1</v>
      </c>
      <c r="W121">
        <v>0.2</v>
      </c>
      <c r="X121" s="15">
        <v>72</v>
      </c>
    </row>
    <row r="122" spans="2:24" x14ac:dyDescent="0.25">
      <c r="B122" s="24" t="s">
        <v>28</v>
      </c>
      <c r="C122" s="15" t="s">
        <v>148</v>
      </c>
      <c r="D122" s="15">
        <v>182</v>
      </c>
      <c r="E122" s="15" t="s">
        <v>161</v>
      </c>
      <c r="F122" s="21">
        <v>46097</v>
      </c>
      <c r="G122" s="22">
        <v>0.6875</v>
      </c>
      <c r="H122" s="23">
        <v>10.509469497038699</v>
      </c>
      <c r="I122" s="23">
        <f>(Tabelle1[[#This Row],[eingestellter 
Gasstrom]]*1.2693-2.457)*101325/Tabelle1[[#This Row],[Umgebungsdruck]]*(Tabelle1[[#This Row],[Umgebungstemperatur]]+273.15)/273.15</f>
        <v>11.905464485419117</v>
      </c>
      <c r="J122" s="30">
        <f>Tabelle1[[#This Row],[Realer Gasstrom]]/60</f>
        <v>0.19842440809031861</v>
      </c>
      <c r="K122" s="15">
        <f>Tabelle1[[#This Row],[Flüssigkeitsgeschwindigkeit]]*60</f>
        <v>10.020000000000001</v>
      </c>
      <c r="L122" s="15">
        <v>0.16700000000000001</v>
      </c>
      <c r="M122" s="15">
        <v>22</v>
      </c>
      <c r="N122" s="15">
        <v>100080</v>
      </c>
      <c r="O122" s="15">
        <v>0.7</v>
      </c>
      <c r="P122" s="15">
        <v>2</v>
      </c>
      <c r="R122" s="19" t="s">
        <v>25</v>
      </c>
      <c r="S122" s="15" t="s">
        <v>26</v>
      </c>
      <c r="T122">
        <v>1</v>
      </c>
      <c r="U122">
        <v>0.6</v>
      </c>
      <c r="V122">
        <v>1</v>
      </c>
      <c r="W122">
        <v>0.2</v>
      </c>
      <c r="X122" s="15">
        <v>72</v>
      </c>
    </row>
    <row r="123" spans="2:24" x14ac:dyDescent="0.25">
      <c r="B123" s="24" t="s">
        <v>28</v>
      </c>
      <c r="C123" s="15" t="s">
        <v>148</v>
      </c>
      <c r="D123" s="15">
        <v>182</v>
      </c>
      <c r="E123" s="15" t="s">
        <v>162</v>
      </c>
      <c r="F123" s="21">
        <v>46097</v>
      </c>
      <c r="G123" s="22">
        <v>0.688194444444444</v>
      </c>
      <c r="H123" s="23">
        <v>10.509469497038699</v>
      </c>
      <c r="I123" s="23">
        <f>(Tabelle1[[#This Row],[eingestellter 
Gasstrom]]*1.2693-2.457)*101325/Tabelle1[[#This Row],[Umgebungsdruck]]*(Tabelle1[[#This Row],[Umgebungstemperatur]]+273.15)/273.15</f>
        <v>11.905464485419117</v>
      </c>
      <c r="J123" s="30">
        <f>Tabelle1[[#This Row],[Realer Gasstrom]]/60</f>
        <v>0.19842440809031861</v>
      </c>
      <c r="K123" s="15">
        <f>Tabelle1[[#This Row],[Flüssigkeitsgeschwindigkeit]]*60</f>
        <v>11.64</v>
      </c>
      <c r="L123" s="15">
        <v>0.19400000000000001</v>
      </c>
      <c r="M123" s="15">
        <v>22</v>
      </c>
      <c r="N123" s="15">
        <v>100080</v>
      </c>
      <c r="O123" s="15">
        <v>0.7</v>
      </c>
      <c r="P123" s="15">
        <v>2</v>
      </c>
      <c r="R123" s="19" t="s">
        <v>25</v>
      </c>
      <c r="S123" s="15" t="s">
        <v>26</v>
      </c>
      <c r="T123">
        <v>1</v>
      </c>
      <c r="U123">
        <v>0.6</v>
      </c>
      <c r="V123">
        <v>1</v>
      </c>
      <c r="W123">
        <v>0.2</v>
      </c>
      <c r="X123" s="15">
        <v>72</v>
      </c>
    </row>
    <row r="124" spans="2:24" x14ac:dyDescent="0.25">
      <c r="B124" s="24" t="s">
        <v>28</v>
      </c>
      <c r="C124" s="15" t="s">
        <v>148</v>
      </c>
      <c r="D124" s="15">
        <v>182</v>
      </c>
      <c r="E124" s="15" t="s">
        <v>163</v>
      </c>
      <c r="F124" s="21">
        <v>46097</v>
      </c>
      <c r="G124" s="22">
        <v>0.69027777777777799</v>
      </c>
      <c r="H124" s="23">
        <v>10.509469497038699</v>
      </c>
      <c r="I124" s="23">
        <f>(Tabelle1[[#This Row],[eingestellter 
Gasstrom]]*1.2693-2.457)*101325/Tabelle1[[#This Row],[Umgebungsdruck]]*(Tabelle1[[#This Row],[Umgebungstemperatur]]+273.15)/273.15</f>
        <v>11.905464485419117</v>
      </c>
      <c r="J124" s="30">
        <f>Tabelle1[[#This Row],[Realer Gasstrom]]/60</f>
        <v>0.19842440809031861</v>
      </c>
      <c r="K124" s="15">
        <f>Tabelle1[[#This Row],[Flüssigkeitsgeschwindigkeit]]*60</f>
        <v>15</v>
      </c>
      <c r="L124" s="15">
        <v>0.25</v>
      </c>
      <c r="M124" s="15">
        <v>22</v>
      </c>
      <c r="N124" s="15">
        <v>100080</v>
      </c>
      <c r="O124" s="15">
        <v>0.7</v>
      </c>
      <c r="P124" s="15">
        <v>2</v>
      </c>
      <c r="R124" s="19" t="s">
        <v>25</v>
      </c>
      <c r="S124" s="15" t="s">
        <v>26</v>
      </c>
      <c r="T124">
        <v>1</v>
      </c>
      <c r="U124">
        <v>0.6</v>
      </c>
      <c r="V124">
        <v>1</v>
      </c>
      <c r="W124">
        <v>0.2</v>
      </c>
      <c r="X124" s="15">
        <v>72</v>
      </c>
    </row>
    <row r="125" spans="2:24" x14ac:dyDescent="0.25">
      <c r="B125" s="24" t="s">
        <v>28</v>
      </c>
      <c r="C125" s="15" t="s">
        <v>148</v>
      </c>
      <c r="D125" s="15">
        <v>182</v>
      </c>
      <c r="E125" s="15" t="s">
        <v>164</v>
      </c>
      <c r="F125" s="21">
        <v>46097</v>
      </c>
      <c r="G125" s="22">
        <v>0.69097222222222199</v>
      </c>
      <c r="H125" s="23">
        <v>10.509469497038699</v>
      </c>
      <c r="I125" s="23">
        <f>(Tabelle1[[#This Row],[eingestellter 
Gasstrom]]*1.2693-2.457)*101325/Tabelle1[[#This Row],[Umgebungsdruck]]*(Tabelle1[[#This Row],[Umgebungstemperatur]]+273.15)/273.15</f>
        <v>11.905464485419117</v>
      </c>
      <c r="J125" s="30">
        <f>Tabelle1[[#This Row],[Realer Gasstrom]]/60</f>
        <v>0.19842440809031861</v>
      </c>
      <c r="K125" s="15">
        <f>Tabelle1[[#This Row],[Flüssigkeitsgeschwindigkeit]]*60</f>
        <v>24</v>
      </c>
      <c r="L125" s="15">
        <v>0.4</v>
      </c>
      <c r="M125" s="15">
        <v>22</v>
      </c>
      <c r="N125" s="15">
        <v>100080</v>
      </c>
      <c r="O125" s="15">
        <v>0.7</v>
      </c>
      <c r="P125" s="15">
        <v>2</v>
      </c>
      <c r="R125" s="19" t="s">
        <v>25</v>
      </c>
      <c r="S125" s="15" t="s">
        <v>26</v>
      </c>
      <c r="T125">
        <v>1</v>
      </c>
      <c r="U125">
        <v>0.6</v>
      </c>
      <c r="V125">
        <v>1</v>
      </c>
      <c r="W125">
        <v>0.2</v>
      </c>
      <c r="X125" s="15">
        <v>72</v>
      </c>
    </row>
    <row r="126" spans="2:24" x14ac:dyDescent="0.25">
      <c r="B126" s="25" t="s">
        <v>31</v>
      </c>
      <c r="C126" s="15" t="s">
        <v>148</v>
      </c>
      <c r="D126" s="15">
        <v>182</v>
      </c>
      <c r="E126" s="15" t="s">
        <v>165</v>
      </c>
      <c r="F126" s="21">
        <v>46097</v>
      </c>
      <c r="G126" s="22">
        <v>0.69236111111111098</v>
      </c>
      <c r="H126" s="23">
        <v>13.311994696249</v>
      </c>
      <c r="I126" s="23">
        <f>(Tabelle1[[#This Row],[eingestellter 
Gasstrom]]*1.2693-2.457)*101325/Tabelle1[[#This Row],[Umgebungsdruck]]*(Tabelle1[[#This Row],[Umgebungstemperatur]]+273.15)/273.15</f>
        <v>15.797033213063452</v>
      </c>
      <c r="J126" s="30">
        <f>Tabelle1[[#This Row],[Realer Gasstrom]]/60</f>
        <v>0.26328388688439086</v>
      </c>
      <c r="K126" s="15">
        <f>Tabelle1[[#This Row],[Flüssigkeitsgeschwindigkeit]]*60</f>
        <v>1.2</v>
      </c>
      <c r="L126" s="15">
        <v>0.02</v>
      </c>
      <c r="M126" s="15">
        <v>22</v>
      </c>
      <c r="N126" s="15">
        <v>100080</v>
      </c>
      <c r="O126" s="15">
        <v>0.8</v>
      </c>
      <c r="P126" s="15">
        <v>2</v>
      </c>
      <c r="R126" s="19" t="s">
        <v>25</v>
      </c>
      <c r="S126" s="15" t="s">
        <v>26</v>
      </c>
      <c r="T126">
        <v>1</v>
      </c>
      <c r="U126">
        <v>0.6</v>
      </c>
      <c r="V126">
        <v>1</v>
      </c>
      <c r="W126">
        <v>0.2</v>
      </c>
      <c r="X126" s="15">
        <v>72</v>
      </c>
    </row>
    <row r="127" spans="2:24" x14ac:dyDescent="0.25">
      <c r="B127" s="24" t="s">
        <v>28</v>
      </c>
      <c r="C127" s="15" t="s">
        <v>148</v>
      </c>
      <c r="D127" s="15">
        <v>182</v>
      </c>
      <c r="E127" s="15" t="s">
        <v>166</v>
      </c>
      <c r="F127" s="21">
        <v>46097</v>
      </c>
      <c r="G127" s="22">
        <v>0.69444444444444497</v>
      </c>
      <c r="H127" s="23">
        <v>13.311994696249</v>
      </c>
      <c r="I127" s="23">
        <f>(Tabelle1[[#This Row],[eingestellter 
Gasstrom]]*1.2693-2.457)*101325/Tabelle1[[#This Row],[Umgebungsdruck]]*(Tabelle1[[#This Row],[Umgebungstemperatur]]+273.15)/273.15</f>
        <v>15.797033213063452</v>
      </c>
      <c r="J127" s="30">
        <f>Tabelle1[[#This Row],[Realer Gasstrom]]/60</f>
        <v>0.26328388688439086</v>
      </c>
      <c r="K127" s="15">
        <f>Tabelle1[[#This Row],[Flüssigkeitsgeschwindigkeit]]*60</f>
        <v>3.36</v>
      </c>
      <c r="L127" s="15">
        <v>5.6000000000000001E-2</v>
      </c>
      <c r="M127" s="15">
        <v>22</v>
      </c>
      <c r="N127" s="15">
        <v>100080</v>
      </c>
      <c r="O127" s="15">
        <v>0.8</v>
      </c>
      <c r="P127" s="15">
        <v>2</v>
      </c>
      <c r="R127" s="19" t="s">
        <v>25</v>
      </c>
      <c r="S127" s="15" t="s">
        <v>26</v>
      </c>
      <c r="T127">
        <v>1</v>
      </c>
      <c r="U127">
        <v>0.6</v>
      </c>
      <c r="V127">
        <v>1</v>
      </c>
      <c r="W127">
        <v>0.2</v>
      </c>
      <c r="X127" s="15">
        <v>72</v>
      </c>
    </row>
    <row r="128" spans="2:24" x14ac:dyDescent="0.25">
      <c r="B128" s="24" t="s">
        <v>28</v>
      </c>
      <c r="C128" s="15" t="s">
        <v>148</v>
      </c>
      <c r="D128" s="15">
        <v>182</v>
      </c>
      <c r="E128" s="15" t="s">
        <v>167</v>
      </c>
      <c r="F128" s="21">
        <v>46097</v>
      </c>
      <c r="G128" s="22">
        <v>0.69861111111111096</v>
      </c>
      <c r="H128" s="23">
        <v>13.311994696249</v>
      </c>
      <c r="I128" s="23">
        <f>(Tabelle1[[#This Row],[eingestellter 
Gasstrom]]*1.2693-2.457)*101325/Tabelle1[[#This Row],[Umgebungsdruck]]*(Tabelle1[[#This Row],[Umgebungstemperatur]]+273.15)/273.15</f>
        <v>15.797033213063452</v>
      </c>
      <c r="J128" s="30">
        <f>Tabelle1[[#This Row],[Realer Gasstrom]]/60</f>
        <v>0.26328388688439086</v>
      </c>
      <c r="K128" s="15">
        <f>Tabelle1[[#This Row],[Flüssigkeitsgeschwindigkeit]]*60</f>
        <v>6.66</v>
      </c>
      <c r="L128" s="15">
        <v>0.111</v>
      </c>
      <c r="M128" s="15">
        <v>22</v>
      </c>
      <c r="N128" s="15">
        <v>100080</v>
      </c>
      <c r="O128" s="15">
        <v>0.8</v>
      </c>
      <c r="P128" s="15">
        <v>2</v>
      </c>
      <c r="R128" s="19" t="s">
        <v>25</v>
      </c>
      <c r="S128" s="15" t="s">
        <v>26</v>
      </c>
      <c r="T128">
        <v>1</v>
      </c>
      <c r="U128">
        <v>0.6</v>
      </c>
      <c r="V128">
        <v>1</v>
      </c>
      <c r="W128">
        <v>0.2</v>
      </c>
      <c r="X128" s="15">
        <v>72</v>
      </c>
    </row>
    <row r="129" spans="2:77" x14ac:dyDescent="0.25">
      <c r="B129" s="24" t="s">
        <v>28</v>
      </c>
      <c r="C129" s="15" t="s">
        <v>148</v>
      </c>
      <c r="D129" s="15">
        <v>182</v>
      </c>
      <c r="E129" s="15" t="s">
        <v>168</v>
      </c>
      <c r="F129" s="21">
        <v>46097</v>
      </c>
      <c r="G129" s="22">
        <v>0.69930555555555596</v>
      </c>
      <c r="H129" s="23">
        <v>13.311994696249</v>
      </c>
      <c r="I129" s="23">
        <f>(Tabelle1[[#This Row],[eingestellter 
Gasstrom]]*1.2693-2.457)*101325/Tabelle1[[#This Row],[Umgebungsdruck]]*(Tabelle1[[#This Row],[Umgebungstemperatur]]+273.15)/273.15</f>
        <v>15.797033213063452</v>
      </c>
      <c r="J129" s="30">
        <f>Tabelle1[[#This Row],[Realer Gasstrom]]/60</f>
        <v>0.26328388688439086</v>
      </c>
      <c r="K129" s="15">
        <f>Tabelle1[[#This Row],[Flüssigkeitsgeschwindigkeit]]*60</f>
        <v>10.020000000000001</v>
      </c>
      <c r="L129" s="15">
        <v>0.16700000000000001</v>
      </c>
      <c r="M129" s="15">
        <v>22</v>
      </c>
      <c r="N129" s="15">
        <v>100080</v>
      </c>
      <c r="O129" s="15">
        <v>0.8</v>
      </c>
      <c r="P129" s="15">
        <v>2</v>
      </c>
      <c r="R129" s="19" t="s">
        <v>25</v>
      </c>
      <c r="S129" s="15" t="s">
        <v>26</v>
      </c>
      <c r="T129">
        <v>1</v>
      </c>
      <c r="U129">
        <v>0.6</v>
      </c>
      <c r="V129">
        <v>1</v>
      </c>
      <c r="W129">
        <v>0.2</v>
      </c>
      <c r="X129" s="15">
        <v>72</v>
      </c>
    </row>
    <row r="130" spans="2:77" x14ac:dyDescent="0.25">
      <c r="B130" s="24" t="s">
        <v>28</v>
      </c>
      <c r="C130" s="15" t="s">
        <v>148</v>
      </c>
      <c r="D130" s="15">
        <v>182</v>
      </c>
      <c r="E130" s="15" t="s">
        <v>169</v>
      </c>
      <c r="F130" s="21">
        <v>46097</v>
      </c>
      <c r="G130" s="22">
        <v>0.7</v>
      </c>
      <c r="H130" s="23">
        <v>13.311994696249</v>
      </c>
      <c r="I130" s="23">
        <f>(Tabelle1[[#This Row],[eingestellter 
Gasstrom]]*1.2693-2.457)*101325/Tabelle1[[#This Row],[Umgebungsdruck]]*(Tabelle1[[#This Row],[Umgebungstemperatur]]+273.15)/273.15</f>
        <v>15.797033213063452</v>
      </c>
      <c r="J130" s="30">
        <f>Tabelle1[[#This Row],[Realer Gasstrom]]/60</f>
        <v>0.26328388688439086</v>
      </c>
      <c r="K130" s="15">
        <f>Tabelle1[[#This Row],[Flüssigkeitsgeschwindigkeit]]*60</f>
        <v>11.64</v>
      </c>
      <c r="L130" s="15">
        <v>0.19400000000000001</v>
      </c>
      <c r="M130" s="15">
        <v>22</v>
      </c>
      <c r="N130" s="15">
        <v>100080</v>
      </c>
      <c r="O130" s="15">
        <v>0.8</v>
      </c>
      <c r="P130" s="15">
        <v>2</v>
      </c>
      <c r="R130" s="19" t="s">
        <v>25</v>
      </c>
      <c r="S130" s="15" t="s">
        <v>26</v>
      </c>
      <c r="T130">
        <v>1</v>
      </c>
      <c r="U130">
        <v>0.6</v>
      </c>
      <c r="V130">
        <v>1</v>
      </c>
      <c r="W130">
        <v>0.2</v>
      </c>
      <c r="X130" s="15">
        <v>72</v>
      </c>
    </row>
    <row r="131" spans="2:77" x14ac:dyDescent="0.25">
      <c r="B131" s="24" t="s">
        <v>28</v>
      </c>
      <c r="C131" s="15" t="s">
        <v>148</v>
      </c>
      <c r="D131" s="15">
        <v>182</v>
      </c>
      <c r="E131" s="15" t="s">
        <v>170</v>
      </c>
      <c r="F131" s="21">
        <v>46097</v>
      </c>
      <c r="G131" s="22">
        <v>0.70138888888888895</v>
      </c>
      <c r="H131" s="23">
        <v>13.311994696249</v>
      </c>
      <c r="I131" s="23">
        <f>(Tabelle1[[#This Row],[eingestellter 
Gasstrom]]*1.2693-2.457)*101325/Tabelle1[[#This Row],[Umgebungsdruck]]*(Tabelle1[[#This Row],[Umgebungstemperatur]]+273.15)/273.15</f>
        <v>15.797033213063452</v>
      </c>
      <c r="J131" s="30">
        <f>Tabelle1[[#This Row],[Realer Gasstrom]]/60</f>
        <v>0.26328388688439086</v>
      </c>
      <c r="K131" s="15">
        <f>Tabelle1[[#This Row],[Flüssigkeitsgeschwindigkeit]]*60</f>
        <v>15</v>
      </c>
      <c r="L131" s="15">
        <v>0.25</v>
      </c>
      <c r="M131" s="15">
        <v>22</v>
      </c>
      <c r="N131" s="15">
        <v>100080</v>
      </c>
      <c r="O131" s="15">
        <v>0.8</v>
      </c>
      <c r="P131" s="15">
        <v>2</v>
      </c>
      <c r="R131" s="19" t="s">
        <v>25</v>
      </c>
      <c r="S131" s="15" t="s">
        <v>26</v>
      </c>
      <c r="T131">
        <v>1</v>
      </c>
      <c r="U131">
        <v>0.6</v>
      </c>
      <c r="V131">
        <v>1</v>
      </c>
      <c r="W131">
        <v>0.2</v>
      </c>
      <c r="X131" s="15">
        <v>72</v>
      </c>
    </row>
    <row r="132" spans="2:77" x14ac:dyDescent="0.25">
      <c r="B132" s="24" t="s">
        <v>28</v>
      </c>
      <c r="C132" s="15" t="s">
        <v>148</v>
      </c>
      <c r="D132" s="15">
        <v>182</v>
      </c>
      <c r="E132" s="15" t="s">
        <v>171</v>
      </c>
      <c r="F132" s="21">
        <v>46097</v>
      </c>
      <c r="G132" s="22">
        <v>0.70208333333333295</v>
      </c>
      <c r="H132" s="23">
        <v>13.311994696249</v>
      </c>
      <c r="I132" s="23">
        <f>(Tabelle1[[#This Row],[eingestellter 
Gasstrom]]*1.2693-2.457)*101325/Tabelle1[[#This Row],[Umgebungsdruck]]*(Tabelle1[[#This Row],[Umgebungstemperatur]]+273.15)/273.15</f>
        <v>15.797033213063452</v>
      </c>
      <c r="J132" s="30">
        <f>Tabelle1[[#This Row],[Realer Gasstrom]]/60</f>
        <v>0.26328388688439086</v>
      </c>
      <c r="K132" s="15">
        <f>Tabelle1[[#This Row],[Flüssigkeitsgeschwindigkeit]]*60</f>
        <v>24</v>
      </c>
      <c r="L132" s="15">
        <v>0.4</v>
      </c>
      <c r="M132" s="15">
        <v>22</v>
      </c>
      <c r="N132" s="15">
        <v>100080</v>
      </c>
      <c r="O132" s="15">
        <v>0.8</v>
      </c>
      <c r="P132" s="15">
        <v>2</v>
      </c>
      <c r="R132" s="19" t="s">
        <v>25</v>
      </c>
      <c r="S132" s="15" t="s">
        <v>26</v>
      </c>
      <c r="T132">
        <v>1</v>
      </c>
      <c r="U132">
        <v>0.6</v>
      </c>
      <c r="V132">
        <v>1</v>
      </c>
      <c r="W132">
        <v>0.2</v>
      </c>
      <c r="X132" s="15">
        <v>72</v>
      </c>
      <c r="AT132" s="31" t="s">
        <v>28</v>
      </c>
      <c r="AU132" s="29">
        <v>7.0000000000000007E-2</v>
      </c>
      <c r="AV132" s="29">
        <v>0.02</v>
      </c>
      <c r="AY132" s="32" t="s">
        <v>31</v>
      </c>
      <c r="AZ132" s="28">
        <v>7.0000000000000007E-2</v>
      </c>
      <c r="BA132" s="28">
        <v>0.01</v>
      </c>
      <c r="BD132" s="33" t="s">
        <v>38</v>
      </c>
      <c r="BE132" s="28">
        <v>7.0000000000000007E-2</v>
      </c>
      <c r="BF132" s="28">
        <v>0.16700000000000001</v>
      </c>
      <c r="BI132" s="34" t="s">
        <v>23</v>
      </c>
      <c r="BJ132" s="29">
        <v>0.11</v>
      </c>
      <c r="BK132" s="29">
        <v>0.19400000000000001</v>
      </c>
    </row>
    <row r="133" spans="2:77" x14ac:dyDescent="0.25">
      <c r="B133" s="24" t="s">
        <v>28</v>
      </c>
      <c r="C133" s="15" t="s">
        <v>172</v>
      </c>
      <c r="D133" s="15">
        <v>415.5</v>
      </c>
      <c r="E133" s="15" t="s">
        <v>173</v>
      </c>
      <c r="F133" s="21">
        <v>46098</v>
      </c>
      <c r="G133" s="22">
        <v>0.60902777777777795</v>
      </c>
      <c r="H133" s="23">
        <v>2.1196914069678998</v>
      </c>
      <c r="I133" s="23">
        <f>(Tabelle1[[#This Row],[eingestellter 
Gasstrom]]*1.2693-2.457)*101325/Tabelle1[[#This Row],[Umgebungsdruck]]*(Tabelle1[[#This Row],[Umgebungstemperatur]]+273.15)/273.15</f>
        <v>0.25332679764434268</v>
      </c>
      <c r="J133" s="30">
        <f>Tabelle1[[#This Row],[Realer Gasstrom]]/60</f>
        <v>4.222113294072378E-3</v>
      </c>
      <c r="K133" s="15">
        <f>Tabelle1[[#This Row],[Flüssigkeitsgeschwindigkeit]]*60</f>
        <v>3.36</v>
      </c>
      <c r="L133" s="15">
        <v>5.6000000000000001E-2</v>
      </c>
      <c r="M133" s="15">
        <v>22.3</v>
      </c>
      <c r="N133" s="15">
        <v>101030</v>
      </c>
      <c r="O133" s="15">
        <v>0.4</v>
      </c>
      <c r="P133" s="15">
        <v>3</v>
      </c>
      <c r="Q133" s="22">
        <v>0.65625</v>
      </c>
      <c r="R133" s="19" t="s">
        <v>25</v>
      </c>
      <c r="S133" s="15" t="s">
        <v>26</v>
      </c>
      <c r="T133">
        <v>1</v>
      </c>
      <c r="U133">
        <v>0.6</v>
      </c>
      <c r="V133">
        <v>1</v>
      </c>
      <c r="W133">
        <v>0.2</v>
      </c>
      <c r="X133" s="15">
        <v>72</v>
      </c>
      <c r="AT133" s="31" t="s">
        <v>28</v>
      </c>
      <c r="AU133" s="28">
        <v>7.0000000000000007E-2</v>
      </c>
      <c r="AV133" s="28">
        <v>5.6000000000000001E-2</v>
      </c>
      <c r="AY133" s="32" t="s">
        <v>31</v>
      </c>
      <c r="AZ133" s="28">
        <v>0.11</v>
      </c>
      <c r="BA133" s="28">
        <v>0.01</v>
      </c>
      <c r="BD133" s="33" t="s">
        <v>38</v>
      </c>
      <c r="BE133" s="28">
        <v>0.11</v>
      </c>
      <c r="BF133" s="28">
        <v>0.25</v>
      </c>
    </row>
    <row r="134" spans="2:77" x14ac:dyDescent="0.25">
      <c r="B134" s="24" t="s">
        <v>28</v>
      </c>
      <c r="C134" s="15" t="s">
        <v>172</v>
      </c>
      <c r="D134" s="15">
        <v>415.5</v>
      </c>
      <c r="E134" s="15" t="s">
        <v>174</v>
      </c>
      <c r="F134" s="21">
        <v>46098</v>
      </c>
      <c r="G134" s="22">
        <v>0.5625</v>
      </c>
      <c r="H134" s="23">
        <v>4.9536322799925401</v>
      </c>
      <c r="I134" s="23">
        <f>(Tabelle1[[#This Row],[eingestellter 
Gasstrom]]*1.2693-2.457)*101325/Tabelle1[[#This Row],[Umgebungsdruck]]*(Tabelle1[[#This Row],[Umgebungstemperatur]]+273.15)/273.15</f>
        <v>4.1490308709784358</v>
      </c>
      <c r="J134" s="30">
        <f>Tabelle1[[#This Row],[Realer Gasstrom]]/60</f>
        <v>6.9150514516307257E-2</v>
      </c>
      <c r="K134" s="15">
        <f>Tabelle1[[#This Row],[Flüssigkeitsgeschwindigkeit]]*60</f>
        <v>1.2</v>
      </c>
      <c r="L134" s="15">
        <v>0.02</v>
      </c>
      <c r="M134" s="15">
        <v>21.9</v>
      </c>
      <c r="N134" s="15">
        <v>101050</v>
      </c>
      <c r="O134" s="15">
        <v>0.7</v>
      </c>
      <c r="P134" s="15">
        <v>3</v>
      </c>
      <c r="Q134" s="22">
        <v>0.4375</v>
      </c>
      <c r="R134" s="19" t="s">
        <v>25</v>
      </c>
      <c r="S134" s="15" t="s">
        <v>26</v>
      </c>
      <c r="T134">
        <v>1</v>
      </c>
      <c r="U134">
        <v>0.6</v>
      </c>
      <c r="V134">
        <v>1</v>
      </c>
      <c r="W134">
        <v>0.2</v>
      </c>
      <c r="X134" s="15">
        <v>72</v>
      </c>
      <c r="AT134" s="31" t="s">
        <v>28</v>
      </c>
      <c r="AU134" s="29">
        <v>7.0000000000000007E-2</v>
      </c>
      <c r="AV134" s="29">
        <v>0.111</v>
      </c>
      <c r="AY134" s="32" t="s">
        <v>31</v>
      </c>
      <c r="AZ134" s="29">
        <v>0.15</v>
      </c>
      <c r="BA134" s="29">
        <v>0.01</v>
      </c>
      <c r="BD134" s="33" t="s">
        <v>175</v>
      </c>
      <c r="BE134" s="29">
        <v>0.15</v>
      </c>
      <c r="BF134" s="29">
        <v>0.5</v>
      </c>
    </row>
    <row r="135" spans="2:77" x14ac:dyDescent="0.25">
      <c r="B135" s="24" t="s">
        <v>28</v>
      </c>
      <c r="C135" s="15" t="s">
        <v>172</v>
      </c>
      <c r="D135" s="15">
        <v>415.5</v>
      </c>
      <c r="E135" s="15" t="s">
        <v>176</v>
      </c>
      <c r="F135" s="21">
        <v>46098</v>
      </c>
      <c r="G135" s="22">
        <v>0.56597222222222199</v>
      </c>
      <c r="H135" s="23">
        <v>4.9536322799925401</v>
      </c>
      <c r="I135" s="23">
        <f>(Tabelle1[[#This Row],[eingestellter 
Gasstrom]]*1.2693-2.457)*101325/Tabelle1[[#This Row],[Umgebungsdruck]]*(Tabelle1[[#This Row],[Umgebungstemperatur]]+273.15)/273.15</f>
        <v>4.1490308709784358</v>
      </c>
      <c r="J135" s="30">
        <f>Tabelle1[[#This Row],[Realer Gasstrom]]/60</f>
        <v>6.9150514516307257E-2</v>
      </c>
      <c r="K135" s="15">
        <f>Tabelle1[[#This Row],[Flüssigkeitsgeschwindigkeit]]*60</f>
        <v>3.36</v>
      </c>
      <c r="L135" s="15">
        <v>5.6000000000000001E-2</v>
      </c>
      <c r="M135" s="15">
        <v>21.9</v>
      </c>
      <c r="N135" s="15">
        <v>101050</v>
      </c>
      <c r="O135" s="15">
        <v>0.7</v>
      </c>
      <c r="P135" s="15">
        <v>3</v>
      </c>
      <c r="Q135" s="22"/>
      <c r="R135" s="19" t="s">
        <v>25</v>
      </c>
      <c r="S135" s="15" t="s">
        <v>26</v>
      </c>
      <c r="T135">
        <v>1</v>
      </c>
      <c r="U135">
        <v>0.6</v>
      </c>
      <c r="V135">
        <v>1</v>
      </c>
      <c r="W135">
        <v>0.2</v>
      </c>
      <c r="X135" s="15">
        <v>72</v>
      </c>
      <c r="AT135" s="31" t="s">
        <v>28</v>
      </c>
      <c r="AU135" s="29">
        <v>0.11</v>
      </c>
      <c r="AV135" s="29">
        <v>0.02</v>
      </c>
      <c r="AY135" s="32" t="s">
        <v>31</v>
      </c>
      <c r="AZ135" s="28">
        <v>0.19</v>
      </c>
      <c r="BA135" s="28">
        <v>0.01</v>
      </c>
      <c r="BD135" s="33" t="s">
        <v>175</v>
      </c>
      <c r="BE135" s="28">
        <v>0.19</v>
      </c>
      <c r="BF135" s="28">
        <v>0.5</v>
      </c>
    </row>
    <row r="136" spans="2:77" x14ac:dyDescent="0.25">
      <c r="B136" s="20" t="s">
        <v>23</v>
      </c>
      <c r="C136" s="15" t="s">
        <v>172</v>
      </c>
      <c r="D136" s="15">
        <v>415.5</v>
      </c>
      <c r="E136" s="15" t="s">
        <v>177</v>
      </c>
      <c r="F136" s="21">
        <v>46098</v>
      </c>
      <c r="G136" s="22">
        <v>0.56805555555555598</v>
      </c>
      <c r="H136" s="23">
        <v>4.9536322799925401</v>
      </c>
      <c r="I136" s="23">
        <f>(Tabelle1[[#This Row],[eingestellter 
Gasstrom]]*1.2693-2.457)*101325/Tabelle1[[#This Row],[Umgebungsdruck]]*(Tabelle1[[#This Row],[Umgebungstemperatur]]+273.15)/273.15</f>
        <v>4.1490308709784358</v>
      </c>
      <c r="J136" s="30">
        <f>Tabelle1[[#This Row],[Realer Gasstrom]]/60</f>
        <v>6.9150514516307257E-2</v>
      </c>
      <c r="K136" s="15">
        <f>Tabelle1[[#This Row],[Flüssigkeitsgeschwindigkeit]]*60</f>
        <v>6.66</v>
      </c>
      <c r="L136" s="15">
        <v>0.111</v>
      </c>
      <c r="M136" s="15">
        <v>21.9</v>
      </c>
      <c r="N136" s="15">
        <v>101050</v>
      </c>
      <c r="O136" s="15">
        <v>0.7</v>
      </c>
      <c r="P136" s="15">
        <v>3</v>
      </c>
      <c r="R136" s="19" t="s">
        <v>25</v>
      </c>
      <c r="S136" s="15" t="s">
        <v>26</v>
      </c>
      <c r="T136">
        <v>1</v>
      </c>
      <c r="U136">
        <v>0.6</v>
      </c>
      <c r="V136">
        <v>1</v>
      </c>
      <c r="W136">
        <v>0.2</v>
      </c>
      <c r="X136" s="15">
        <v>72</v>
      </c>
      <c r="AT136" s="31" t="s">
        <v>28</v>
      </c>
      <c r="AU136" s="28">
        <v>0.11</v>
      </c>
      <c r="AV136" s="28">
        <v>0.16700000000000001</v>
      </c>
      <c r="AY136" s="32" t="s">
        <v>31</v>
      </c>
      <c r="AZ136" s="29">
        <v>0.03</v>
      </c>
      <c r="BA136" s="29">
        <v>0.02</v>
      </c>
      <c r="BD136" s="33" t="s">
        <v>38</v>
      </c>
      <c r="BE136" s="29">
        <v>0.03</v>
      </c>
      <c r="BF136" s="29">
        <v>0.111</v>
      </c>
    </row>
    <row r="137" spans="2:77" x14ac:dyDescent="0.25">
      <c r="B137" s="24" t="s">
        <v>28</v>
      </c>
      <c r="C137" s="15" t="s">
        <v>172</v>
      </c>
      <c r="D137" s="15">
        <v>415.5</v>
      </c>
      <c r="E137" s="15" t="s">
        <v>178</v>
      </c>
      <c r="F137" s="21">
        <v>46098</v>
      </c>
      <c r="G137" s="22">
        <v>0.57152777777777797</v>
      </c>
      <c r="H137" s="23">
        <v>7.7842792971311301</v>
      </c>
      <c r="I137" s="23">
        <f>(Tabelle1[[#This Row],[eingestellter 
Gasstrom]]*1.2693-2.457)*101325/Tabelle1[[#This Row],[Umgebungsdruck]]*(Tabelle1[[#This Row],[Umgebungstemperatur]]+273.15)/273.15</f>
        <v>8.0405995986227889</v>
      </c>
      <c r="J137" s="30">
        <f>Tabelle1[[#This Row],[Realer Gasstrom]]/60</f>
        <v>0.13400999331037983</v>
      </c>
      <c r="K137" s="15">
        <f>Tabelle1[[#This Row],[Flüssigkeitsgeschwindigkeit]]*60</f>
        <v>1.2</v>
      </c>
      <c r="L137" s="15">
        <v>0.02</v>
      </c>
      <c r="M137" s="15">
        <v>21.9</v>
      </c>
      <c r="N137" s="15">
        <v>101050</v>
      </c>
      <c r="O137" s="15">
        <v>0.8</v>
      </c>
      <c r="P137" s="15">
        <v>3</v>
      </c>
      <c r="Q137" s="22"/>
      <c r="R137" s="19" t="s">
        <v>25</v>
      </c>
      <c r="S137" s="15" t="s">
        <v>26</v>
      </c>
      <c r="T137">
        <v>1</v>
      </c>
      <c r="U137">
        <v>0.6</v>
      </c>
      <c r="V137">
        <v>1</v>
      </c>
      <c r="W137">
        <v>0.2</v>
      </c>
      <c r="X137" s="15">
        <v>72</v>
      </c>
      <c r="AT137" s="31" t="s">
        <v>28</v>
      </c>
      <c r="AU137" s="29">
        <v>0.11</v>
      </c>
      <c r="AV137" s="29">
        <v>0.111</v>
      </c>
    </row>
    <row r="138" spans="2:77" x14ac:dyDescent="0.25">
      <c r="B138" s="24" t="s">
        <v>28</v>
      </c>
      <c r="C138" s="15" t="s">
        <v>172</v>
      </c>
      <c r="D138" s="15">
        <v>415.5</v>
      </c>
      <c r="E138" s="15" t="s">
        <v>179</v>
      </c>
      <c r="F138" s="21">
        <v>46098</v>
      </c>
      <c r="G138" s="22">
        <v>0.57291666666666696</v>
      </c>
      <c r="H138" s="23">
        <v>7.7842792971311301</v>
      </c>
      <c r="I138" s="23">
        <f>(Tabelle1[[#This Row],[eingestellter 
Gasstrom]]*1.2693-2.457)*101325/Tabelle1[[#This Row],[Umgebungsdruck]]*(Tabelle1[[#This Row],[Umgebungstemperatur]]+273.15)/273.15</f>
        <v>8.0405995986227889</v>
      </c>
      <c r="J138" s="30">
        <f>Tabelle1[[#This Row],[Realer Gasstrom]]/60</f>
        <v>0.13400999331037983</v>
      </c>
      <c r="K138" s="15">
        <f>Tabelle1[[#This Row],[Flüssigkeitsgeschwindigkeit]]*60</f>
        <v>3.36</v>
      </c>
      <c r="L138" s="15">
        <v>5.6000000000000001E-2</v>
      </c>
      <c r="M138" s="15">
        <v>21.9</v>
      </c>
      <c r="N138" s="15">
        <v>101050</v>
      </c>
      <c r="O138" s="15">
        <v>0.8</v>
      </c>
      <c r="P138" s="15">
        <v>3</v>
      </c>
      <c r="Q138" s="22"/>
      <c r="R138" s="19" t="s">
        <v>25</v>
      </c>
      <c r="S138" s="15" t="s">
        <v>26</v>
      </c>
      <c r="T138">
        <v>1</v>
      </c>
      <c r="U138">
        <v>0.6</v>
      </c>
      <c r="V138">
        <v>1</v>
      </c>
      <c r="W138">
        <v>0.2</v>
      </c>
      <c r="X138" s="15">
        <v>72</v>
      </c>
      <c r="AT138" s="31" t="s">
        <v>28</v>
      </c>
      <c r="AU138" s="28">
        <v>0.11</v>
      </c>
      <c r="AV138" s="28">
        <v>5.6000000000000001E-2</v>
      </c>
    </row>
    <row r="139" spans="2:77" x14ac:dyDescent="0.25">
      <c r="B139" s="24" t="s">
        <v>28</v>
      </c>
      <c r="C139" s="15" t="s">
        <v>172</v>
      </c>
      <c r="D139" s="15">
        <v>415.5</v>
      </c>
      <c r="E139" s="15" t="s">
        <v>180</v>
      </c>
      <c r="F139" s="21">
        <v>46098</v>
      </c>
      <c r="G139" s="22">
        <v>0.57986111111111105</v>
      </c>
      <c r="H139" s="23">
        <v>7.7842792971311301</v>
      </c>
      <c r="I139" s="23">
        <f>(Tabelle1[[#This Row],[eingestellter 
Gasstrom]]*1.2693-2.457)*101325/Tabelle1[[#This Row],[Umgebungsdruck]]*(Tabelle1[[#This Row],[Umgebungstemperatur]]+273.15)/273.15</f>
        <v>8.0405995986227889</v>
      </c>
      <c r="J139" s="30">
        <f>Tabelle1[[#This Row],[Realer Gasstrom]]/60</f>
        <v>0.13400999331037983</v>
      </c>
      <c r="K139" s="15">
        <f>Tabelle1[[#This Row],[Flüssigkeitsgeschwindigkeit]]*60</f>
        <v>6.66</v>
      </c>
      <c r="L139" s="15">
        <v>0.111</v>
      </c>
      <c r="M139" s="15">
        <v>21.9</v>
      </c>
      <c r="N139" s="15">
        <v>101050</v>
      </c>
      <c r="O139" s="15">
        <v>0.8</v>
      </c>
      <c r="P139" s="15">
        <v>3</v>
      </c>
      <c r="Q139" s="22"/>
      <c r="R139" s="19" t="s">
        <v>25</v>
      </c>
      <c r="S139" s="15" t="s">
        <v>26</v>
      </c>
      <c r="T139">
        <v>1</v>
      </c>
      <c r="U139">
        <v>0.6</v>
      </c>
      <c r="V139">
        <v>1</v>
      </c>
      <c r="W139">
        <v>0.2</v>
      </c>
      <c r="X139" s="15">
        <v>72</v>
      </c>
      <c r="AT139" s="31" t="s">
        <v>28</v>
      </c>
      <c r="AU139" s="28">
        <v>0.15</v>
      </c>
      <c r="AV139" s="28">
        <v>0.02</v>
      </c>
    </row>
    <row r="140" spans="2:77" x14ac:dyDescent="0.25">
      <c r="B140" s="24" t="s">
        <v>28</v>
      </c>
      <c r="C140" s="15" t="s">
        <v>172</v>
      </c>
      <c r="D140" s="15">
        <v>415.5</v>
      </c>
      <c r="E140" s="15" t="s">
        <v>181</v>
      </c>
      <c r="F140" s="21">
        <v>46098</v>
      </c>
      <c r="G140" s="22">
        <v>0.58194444444444504</v>
      </c>
      <c r="H140" s="23">
        <v>7.7842792971311301</v>
      </c>
      <c r="I140" s="23">
        <f>(Tabelle1[[#This Row],[eingestellter 
Gasstrom]]*1.2693-2.457)*101325/Tabelle1[[#This Row],[Umgebungsdruck]]*(Tabelle1[[#This Row],[Umgebungstemperatur]]+273.15)/273.15</f>
        <v>8.0405995986227889</v>
      </c>
      <c r="J140" s="30">
        <f>Tabelle1[[#This Row],[Realer Gasstrom]]/60</f>
        <v>0.13400999331037983</v>
      </c>
      <c r="K140" s="15">
        <f>Tabelle1[[#This Row],[Flüssigkeitsgeschwindigkeit]]*60</f>
        <v>10.020000000000001</v>
      </c>
      <c r="L140" s="15">
        <v>0.16700000000000001</v>
      </c>
      <c r="M140" s="15">
        <v>21.9</v>
      </c>
      <c r="N140" s="15">
        <v>101050</v>
      </c>
      <c r="O140" s="15">
        <v>0.8</v>
      </c>
      <c r="P140" s="15">
        <v>3</v>
      </c>
      <c r="R140" s="19" t="s">
        <v>25</v>
      </c>
      <c r="S140" s="15" t="s">
        <v>26</v>
      </c>
      <c r="T140">
        <v>1</v>
      </c>
      <c r="U140">
        <v>0.6</v>
      </c>
      <c r="V140">
        <v>1</v>
      </c>
      <c r="W140">
        <v>0.2</v>
      </c>
      <c r="X140" s="15">
        <v>72</v>
      </c>
      <c r="AT140" s="31" t="s">
        <v>28</v>
      </c>
      <c r="AU140" s="29">
        <v>0.15</v>
      </c>
      <c r="AV140" s="29">
        <v>5.6000000000000001E-2</v>
      </c>
      <c r="BT140" s="19" t="s">
        <v>182</v>
      </c>
      <c r="BX140" s="19" t="s">
        <v>183</v>
      </c>
    </row>
    <row r="141" spans="2:77" x14ac:dyDescent="0.25">
      <c r="B141" s="20" t="s">
        <v>23</v>
      </c>
      <c r="C141" s="15" t="s">
        <v>172</v>
      </c>
      <c r="D141" s="15">
        <v>415.5</v>
      </c>
      <c r="E141" s="15" t="s">
        <v>184</v>
      </c>
      <c r="F141" s="21">
        <v>46098</v>
      </c>
      <c r="G141" s="22">
        <v>0.58263888888888904</v>
      </c>
      <c r="H141" s="23">
        <v>7.7842792971311301</v>
      </c>
      <c r="I141" s="23">
        <f>(Tabelle1[[#This Row],[eingestellter 
Gasstrom]]*1.2693-2.457)*101325/Tabelle1[[#This Row],[Umgebungsdruck]]*(Tabelle1[[#This Row],[Umgebungstemperatur]]+273.15)/273.15</f>
        <v>8.0405995986227889</v>
      </c>
      <c r="J141" s="30">
        <f>Tabelle1[[#This Row],[Realer Gasstrom]]/60</f>
        <v>0.13400999331037983</v>
      </c>
      <c r="K141" s="15">
        <f>Tabelle1[[#This Row],[Flüssigkeitsgeschwindigkeit]]*60</f>
        <v>11.64</v>
      </c>
      <c r="L141" s="15">
        <v>0.19400000000000001</v>
      </c>
      <c r="M141" s="15">
        <v>21.9</v>
      </c>
      <c r="N141" s="15">
        <v>101050</v>
      </c>
      <c r="O141" s="15">
        <v>0.8</v>
      </c>
      <c r="P141" s="15">
        <v>3</v>
      </c>
      <c r="R141" s="19" t="s">
        <v>25</v>
      </c>
      <c r="S141" s="15" t="s">
        <v>26</v>
      </c>
      <c r="T141">
        <v>1</v>
      </c>
      <c r="U141">
        <v>0.6</v>
      </c>
      <c r="V141">
        <v>1</v>
      </c>
      <c r="W141">
        <v>0.2</v>
      </c>
      <c r="X141" s="15">
        <v>72</v>
      </c>
      <c r="AT141" s="31" t="s">
        <v>28</v>
      </c>
      <c r="AU141" s="28">
        <v>0.15</v>
      </c>
      <c r="AV141" s="28">
        <v>0.111</v>
      </c>
      <c r="BS141" s="32" t="s">
        <v>31</v>
      </c>
      <c r="BT141" s="28">
        <v>7.0000000000000007E-2</v>
      </c>
      <c r="BU141" s="28">
        <v>0.01</v>
      </c>
      <c r="BW141" s="32" t="s">
        <v>31</v>
      </c>
      <c r="BX141" s="28">
        <v>0.03</v>
      </c>
      <c r="BY141" s="28">
        <v>5.6000000000000001E-2</v>
      </c>
    </row>
    <row r="142" spans="2:77" x14ac:dyDescent="0.25">
      <c r="B142" s="25" t="s">
        <v>31</v>
      </c>
      <c r="C142" s="15" t="s">
        <v>172</v>
      </c>
      <c r="D142" s="15">
        <v>415.5</v>
      </c>
      <c r="E142" s="15" t="s">
        <v>185</v>
      </c>
      <c r="F142" s="21">
        <v>46098</v>
      </c>
      <c r="G142" s="22">
        <v>0.58680555555555602</v>
      </c>
      <c r="H142" s="23">
        <v>10.6077358476724</v>
      </c>
      <c r="I142" s="23">
        <f>(Tabelle1[[#This Row],[eingestellter 
Gasstrom]]*1.2693-2.457)*101325/Tabelle1[[#This Row],[Umgebungsdruck]]*(Tabelle1[[#This Row],[Umgebungstemperatur]]+273.15)/273.15</f>
        <v>11.93036441885997</v>
      </c>
      <c r="J142" s="30">
        <f>Tabelle1[[#This Row],[Realer Gasstrom]]/60</f>
        <v>0.1988394069809995</v>
      </c>
      <c r="K142" s="15">
        <f>Tabelle1[[#This Row],[Flüssigkeitsgeschwindigkeit]]*60</f>
        <v>1.2</v>
      </c>
      <c r="L142" s="15">
        <v>0.02</v>
      </c>
      <c r="M142" s="15">
        <v>22.1</v>
      </c>
      <c r="N142" s="15">
        <v>101050</v>
      </c>
      <c r="O142" s="15">
        <v>0.8</v>
      </c>
      <c r="P142" s="15">
        <v>3</v>
      </c>
      <c r="R142" s="19" t="s">
        <v>25</v>
      </c>
      <c r="S142" s="15" t="s">
        <v>26</v>
      </c>
      <c r="T142">
        <v>1</v>
      </c>
      <c r="U142">
        <v>0.6</v>
      </c>
      <c r="V142">
        <v>1</v>
      </c>
      <c r="W142">
        <v>0.2</v>
      </c>
      <c r="X142" s="15">
        <v>72</v>
      </c>
      <c r="AT142" s="31" t="s">
        <v>28</v>
      </c>
      <c r="AU142" s="29">
        <v>0.15</v>
      </c>
      <c r="AV142" s="29">
        <v>0.16700000000000001</v>
      </c>
      <c r="BS142" s="31" t="s">
        <v>28</v>
      </c>
      <c r="BT142" s="29">
        <v>7.0000000000000007E-2</v>
      </c>
      <c r="BU142" s="29">
        <v>0.02</v>
      </c>
      <c r="BW142" s="31" t="s">
        <v>28</v>
      </c>
      <c r="BX142" s="29">
        <v>7.0000000000000007E-2</v>
      </c>
      <c r="BY142" s="29">
        <v>0.02</v>
      </c>
    </row>
    <row r="143" spans="2:77" x14ac:dyDescent="0.25">
      <c r="B143" s="24" t="s">
        <v>28</v>
      </c>
      <c r="C143" s="15" t="s">
        <v>172</v>
      </c>
      <c r="D143" s="15">
        <v>415.5</v>
      </c>
      <c r="E143" s="15" t="s">
        <v>186</v>
      </c>
      <c r="F143" s="21">
        <v>46098</v>
      </c>
      <c r="G143" s="22">
        <v>0.58750000000000002</v>
      </c>
      <c r="H143" s="23">
        <v>10.6077358476724</v>
      </c>
      <c r="I143" s="23">
        <f>(Tabelle1[[#This Row],[eingestellter 
Gasstrom]]*1.2693-2.457)*101325/Tabelle1[[#This Row],[Umgebungsdruck]]*(Tabelle1[[#This Row],[Umgebungstemperatur]]+273.15)/273.15</f>
        <v>11.93036441885997</v>
      </c>
      <c r="J143" s="30">
        <f>Tabelle1[[#This Row],[Realer Gasstrom]]/60</f>
        <v>0.1988394069809995</v>
      </c>
      <c r="K143" s="15">
        <f>Tabelle1[[#This Row],[Flüssigkeitsgeschwindigkeit]]*60</f>
        <v>3.36</v>
      </c>
      <c r="L143" s="15">
        <v>5.6000000000000001E-2</v>
      </c>
      <c r="M143" s="15">
        <v>22.1</v>
      </c>
      <c r="N143" s="15">
        <v>101050</v>
      </c>
      <c r="O143" s="15">
        <v>0.8</v>
      </c>
      <c r="P143" s="15">
        <v>3</v>
      </c>
      <c r="R143" s="19" t="s">
        <v>25</v>
      </c>
      <c r="S143" s="15" t="s">
        <v>26</v>
      </c>
      <c r="T143">
        <v>1</v>
      </c>
      <c r="U143">
        <v>0.6</v>
      </c>
      <c r="V143">
        <v>1</v>
      </c>
      <c r="W143">
        <v>0.2</v>
      </c>
      <c r="X143" s="15">
        <v>72</v>
      </c>
      <c r="AT143" s="31" t="s">
        <v>28</v>
      </c>
      <c r="AU143" s="28">
        <v>0.15</v>
      </c>
      <c r="AV143" s="28">
        <v>0.19400000000000001</v>
      </c>
      <c r="BS143" s="31" t="s">
        <v>28</v>
      </c>
      <c r="BT143" s="28">
        <v>7.0000000000000007E-2</v>
      </c>
      <c r="BU143" s="28">
        <v>5.6000000000000001E-2</v>
      </c>
      <c r="BW143" s="31" t="s">
        <v>28</v>
      </c>
      <c r="BX143" s="28">
        <v>7.0000000000000007E-2</v>
      </c>
      <c r="BY143" s="28">
        <v>5.6000000000000001E-2</v>
      </c>
    </row>
    <row r="144" spans="2:77" x14ac:dyDescent="0.25">
      <c r="B144" s="24" t="s">
        <v>28</v>
      </c>
      <c r="C144" s="15" t="s">
        <v>172</v>
      </c>
      <c r="D144" s="15">
        <v>415.5</v>
      </c>
      <c r="E144" s="15" t="s">
        <v>187</v>
      </c>
      <c r="F144" s="21">
        <v>46098</v>
      </c>
      <c r="G144" s="22">
        <v>0.58888888888888902</v>
      </c>
      <c r="H144" s="23">
        <v>10.6077358476724</v>
      </c>
      <c r="I144" s="23">
        <f>(Tabelle1[[#This Row],[eingestellter 
Gasstrom]]*1.2693-2.457)*101325/Tabelle1[[#This Row],[Umgebungsdruck]]*(Tabelle1[[#This Row],[Umgebungstemperatur]]+273.15)/273.15</f>
        <v>11.93036441885997</v>
      </c>
      <c r="J144" s="30">
        <f>Tabelle1[[#This Row],[Realer Gasstrom]]/60</f>
        <v>0.1988394069809995</v>
      </c>
      <c r="K144" s="15">
        <f>Tabelle1[[#This Row],[Flüssigkeitsgeschwindigkeit]]*60</f>
        <v>6.66</v>
      </c>
      <c r="L144" s="15">
        <v>0.111</v>
      </c>
      <c r="M144" s="15">
        <v>22.1</v>
      </c>
      <c r="N144" s="15">
        <v>101050</v>
      </c>
      <c r="O144" s="15">
        <v>0.8</v>
      </c>
      <c r="P144" s="15">
        <v>3</v>
      </c>
      <c r="R144" s="19" t="s">
        <v>25</v>
      </c>
      <c r="S144" s="15" t="s">
        <v>26</v>
      </c>
      <c r="T144">
        <v>1</v>
      </c>
      <c r="U144">
        <v>0.6</v>
      </c>
      <c r="V144">
        <v>1</v>
      </c>
      <c r="W144">
        <v>0.2</v>
      </c>
      <c r="X144" s="15">
        <v>72</v>
      </c>
      <c r="AT144" s="31" t="s">
        <v>28</v>
      </c>
      <c r="AU144" s="29">
        <v>0.15</v>
      </c>
      <c r="AV144" s="29">
        <v>0.25</v>
      </c>
      <c r="BS144" s="33" t="s">
        <v>38</v>
      </c>
      <c r="BT144" s="28">
        <v>7.0000000000000007E-2</v>
      </c>
      <c r="BU144" s="28">
        <v>0.16700000000000001</v>
      </c>
      <c r="BW144" s="34" t="s">
        <v>23</v>
      </c>
      <c r="BX144" s="29">
        <v>7.0000000000000007E-2</v>
      </c>
      <c r="BY144" s="29">
        <v>0.111</v>
      </c>
    </row>
    <row r="145" spans="1:77" x14ac:dyDescent="0.25">
      <c r="B145" s="24" t="s">
        <v>28</v>
      </c>
      <c r="C145" s="15" t="s">
        <v>172</v>
      </c>
      <c r="D145" s="15">
        <v>415.5</v>
      </c>
      <c r="E145" s="15" t="s">
        <v>188</v>
      </c>
      <c r="F145" s="21">
        <v>46098</v>
      </c>
      <c r="G145" s="22">
        <v>0.58958333333333302</v>
      </c>
      <c r="H145" s="23">
        <v>10.6077358476724</v>
      </c>
      <c r="I145" s="23">
        <f>(Tabelle1[[#This Row],[eingestellter 
Gasstrom]]*1.2693-2.457)*101325/Tabelle1[[#This Row],[Umgebungsdruck]]*(Tabelle1[[#This Row],[Umgebungstemperatur]]+273.15)/273.15</f>
        <v>11.93036441885997</v>
      </c>
      <c r="J145" s="30">
        <f>Tabelle1[[#This Row],[Realer Gasstrom]]/60</f>
        <v>0.1988394069809995</v>
      </c>
      <c r="K145" s="15">
        <f>Tabelle1[[#This Row],[Flüssigkeitsgeschwindigkeit]]*60</f>
        <v>10.020000000000001</v>
      </c>
      <c r="L145" s="15">
        <v>0.16700000000000001</v>
      </c>
      <c r="M145" s="15">
        <v>22.1</v>
      </c>
      <c r="N145" s="15">
        <v>101050</v>
      </c>
      <c r="O145" s="15">
        <v>0.8</v>
      </c>
      <c r="P145" s="15">
        <v>3</v>
      </c>
      <c r="R145" s="19" t="s">
        <v>25</v>
      </c>
      <c r="S145" s="15" t="s">
        <v>26</v>
      </c>
      <c r="T145">
        <v>1</v>
      </c>
      <c r="U145">
        <v>0.6</v>
      </c>
      <c r="V145">
        <v>1</v>
      </c>
      <c r="W145">
        <v>0.2</v>
      </c>
      <c r="X145" s="15">
        <v>72</v>
      </c>
      <c r="AT145" s="31" t="s">
        <v>28</v>
      </c>
      <c r="AU145" s="28">
        <v>0.15</v>
      </c>
      <c r="AV145" s="28">
        <v>0.4</v>
      </c>
      <c r="BS145" s="31" t="s">
        <v>28</v>
      </c>
      <c r="BT145" s="29">
        <v>7.0000000000000007E-2</v>
      </c>
      <c r="BU145" s="29">
        <v>0.111</v>
      </c>
      <c r="BW145" s="31" t="s">
        <v>28</v>
      </c>
      <c r="BX145" s="28">
        <v>0.11</v>
      </c>
      <c r="BY145" s="28">
        <v>0.02</v>
      </c>
    </row>
    <row r="146" spans="1:77" x14ac:dyDescent="0.25">
      <c r="B146" s="24" t="s">
        <v>28</v>
      </c>
      <c r="C146" s="15" t="s">
        <v>172</v>
      </c>
      <c r="D146" s="15">
        <v>415.5</v>
      </c>
      <c r="E146" s="15" t="s">
        <v>189</v>
      </c>
      <c r="F146" s="21">
        <v>46098</v>
      </c>
      <c r="G146" s="22">
        <v>0.59027777777777801</v>
      </c>
      <c r="H146" s="23">
        <v>10.6077358476724</v>
      </c>
      <c r="I146" s="23">
        <f>(Tabelle1[[#This Row],[eingestellter 
Gasstrom]]*1.2693-2.457)*101325/Tabelle1[[#This Row],[Umgebungsdruck]]*(Tabelle1[[#This Row],[Umgebungstemperatur]]+273.15)/273.15</f>
        <v>11.93036441885997</v>
      </c>
      <c r="J146" s="30">
        <f>Tabelle1[[#This Row],[Realer Gasstrom]]/60</f>
        <v>0.1988394069809995</v>
      </c>
      <c r="K146" s="15">
        <f>Tabelle1[[#This Row],[Flüssigkeitsgeschwindigkeit]]*60</f>
        <v>11.64</v>
      </c>
      <c r="L146" s="15">
        <v>0.19400000000000001</v>
      </c>
      <c r="M146" s="15">
        <v>22.1</v>
      </c>
      <c r="N146" s="15">
        <v>101050</v>
      </c>
      <c r="O146" s="15">
        <v>0.8</v>
      </c>
      <c r="P146" s="15">
        <v>3</v>
      </c>
      <c r="R146" s="19" t="s">
        <v>25</v>
      </c>
      <c r="S146" s="15" t="s">
        <v>26</v>
      </c>
      <c r="T146">
        <v>1</v>
      </c>
      <c r="U146">
        <v>0.6</v>
      </c>
      <c r="V146">
        <v>1</v>
      </c>
      <c r="W146">
        <v>0.2</v>
      </c>
      <c r="X146" s="15">
        <v>72</v>
      </c>
      <c r="AT146" s="31" t="s">
        <v>28</v>
      </c>
      <c r="AU146" s="29">
        <v>0.19</v>
      </c>
      <c r="AV146" s="29">
        <v>0.02</v>
      </c>
      <c r="BS146" s="32" t="s">
        <v>31</v>
      </c>
      <c r="BT146" s="28">
        <v>0.11</v>
      </c>
      <c r="BU146" s="28">
        <v>0.01</v>
      </c>
      <c r="BW146" s="31" t="s">
        <v>28</v>
      </c>
      <c r="BX146" s="29">
        <v>0.11</v>
      </c>
      <c r="BY146" s="29">
        <v>5.6000000000000001E-2</v>
      </c>
    </row>
    <row r="147" spans="1:77" x14ac:dyDescent="0.25">
      <c r="B147" s="24" t="s">
        <v>28</v>
      </c>
      <c r="C147" s="15" t="s">
        <v>172</v>
      </c>
      <c r="D147" s="15">
        <v>415.5</v>
      </c>
      <c r="E147" s="15" t="s">
        <v>190</v>
      </c>
      <c r="F147" s="21">
        <v>46098</v>
      </c>
      <c r="G147" s="22">
        <v>0.59236111111111101</v>
      </c>
      <c r="H147" s="23">
        <v>10.6077358476724</v>
      </c>
      <c r="I147" s="23">
        <f>(Tabelle1[[#This Row],[eingestellter 
Gasstrom]]*1.2693-2.457)*101325/Tabelle1[[#This Row],[Umgebungsdruck]]*(Tabelle1[[#This Row],[Umgebungstemperatur]]+273.15)/273.15</f>
        <v>11.93036441885997</v>
      </c>
      <c r="J147" s="30">
        <f>Tabelle1[[#This Row],[Realer Gasstrom]]/60</f>
        <v>0.1988394069809995</v>
      </c>
      <c r="K147" s="15">
        <f>Tabelle1[[#This Row],[Flüssigkeitsgeschwindigkeit]]*60</f>
        <v>15</v>
      </c>
      <c r="L147" s="15">
        <v>0.25</v>
      </c>
      <c r="M147" s="15">
        <v>22.1</v>
      </c>
      <c r="N147" s="15">
        <v>101050</v>
      </c>
      <c r="O147" s="15">
        <v>0.8</v>
      </c>
      <c r="P147" s="15">
        <v>3</v>
      </c>
      <c r="R147" s="19" t="s">
        <v>25</v>
      </c>
      <c r="S147" s="15" t="s">
        <v>26</v>
      </c>
      <c r="T147">
        <v>1</v>
      </c>
      <c r="U147">
        <v>0.6</v>
      </c>
      <c r="V147">
        <v>1</v>
      </c>
      <c r="W147">
        <v>0.2</v>
      </c>
      <c r="X147" s="15">
        <v>72</v>
      </c>
      <c r="AT147" s="31" t="s">
        <v>28</v>
      </c>
      <c r="AU147" s="28">
        <v>0.19</v>
      </c>
      <c r="AV147" s="28">
        <v>5.6000000000000001E-2</v>
      </c>
      <c r="BS147" s="31" t="s">
        <v>28</v>
      </c>
      <c r="BT147" s="29">
        <v>0.11</v>
      </c>
      <c r="BU147" s="29">
        <v>0.02</v>
      </c>
      <c r="BW147" s="31" t="s">
        <v>28</v>
      </c>
      <c r="BX147" s="28">
        <v>0.11</v>
      </c>
      <c r="BY147" s="28">
        <v>0.111</v>
      </c>
    </row>
    <row r="148" spans="1:77" x14ac:dyDescent="0.25">
      <c r="B148" s="24" t="s">
        <v>28</v>
      </c>
      <c r="C148" s="15" t="s">
        <v>172</v>
      </c>
      <c r="D148" s="15">
        <v>415.5</v>
      </c>
      <c r="E148" s="15" t="s">
        <v>191</v>
      </c>
      <c r="F148" s="21">
        <v>46098</v>
      </c>
      <c r="G148" s="22">
        <v>0.59375</v>
      </c>
      <c r="H148" s="23">
        <v>10.6077358476724</v>
      </c>
      <c r="I148" s="23">
        <f>(Tabelle1[[#This Row],[eingestellter 
Gasstrom]]*1.2693-2.457)*101325/Tabelle1[[#This Row],[Umgebungsdruck]]*(Tabelle1[[#This Row],[Umgebungstemperatur]]+273.15)/273.15</f>
        <v>11.93036441885997</v>
      </c>
      <c r="J148" s="30">
        <f>Tabelle1[[#This Row],[Realer Gasstrom]]/60</f>
        <v>0.1988394069809995</v>
      </c>
      <c r="K148" s="15">
        <f>Tabelle1[[#This Row],[Flüssigkeitsgeschwindigkeit]]*60</f>
        <v>24</v>
      </c>
      <c r="L148" s="15">
        <v>0.4</v>
      </c>
      <c r="M148" s="15">
        <v>22.1</v>
      </c>
      <c r="N148" s="15">
        <v>101050</v>
      </c>
      <c r="O148" s="15">
        <v>0.8</v>
      </c>
      <c r="P148" s="15">
        <v>3</v>
      </c>
      <c r="R148" s="19" t="s">
        <v>25</v>
      </c>
      <c r="S148" s="15" t="s">
        <v>26</v>
      </c>
      <c r="T148">
        <v>1</v>
      </c>
      <c r="U148">
        <v>0.6</v>
      </c>
      <c r="V148">
        <v>1</v>
      </c>
      <c r="W148">
        <v>0.2</v>
      </c>
      <c r="X148" s="15">
        <v>72</v>
      </c>
      <c r="AT148" s="31" t="s">
        <v>28</v>
      </c>
      <c r="AU148" s="29">
        <v>0.19</v>
      </c>
      <c r="AV148" s="29">
        <v>0.111</v>
      </c>
      <c r="BS148" s="31" t="s">
        <v>28</v>
      </c>
      <c r="BT148" s="28">
        <v>0.11</v>
      </c>
      <c r="BU148" s="28">
        <v>0.16700000000000001</v>
      </c>
      <c r="BW148" s="31" t="s">
        <v>28</v>
      </c>
      <c r="BX148" s="29">
        <v>0.11</v>
      </c>
      <c r="BY148" s="29">
        <v>0.16700000000000001</v>
      </c>
    </row>
    <row r="149" spans="1:77" x14ac:dyDescent="0.25">
      <c r="A149" s="14" t="s">
        <v>192</v>
      </c>
      <c r="B149" s="25" t="s">
        <v>31</v>
      </c>
      <c r="C149" s="15" t="s">
        <v>193</v>
      </c>
      <c r="D149" s="15">
        <v>416</v>
      </c>
      <c r="E149" s="15" t="s">
        <v>194</v>
      </c>
      <c r="F149" s="21">
        <v>46099</v>
      </c>
      <c r="G149" s="22">
        <v>0.563194444444444</v>
      </c>
      <c r="H149" s="23">
        <v>13.487165126984101</v>
      </c>
      <c r="I149" s="23">
        <f>(Tabelle1[[#This Row],[eingestellter 
Gasstrom]]*1.2693-2.457)*101325/Tabelle1[[#This Row],[Umgebungsdruck]]*(Tabelle1[[#This Row],[Umgebungstemperatur]]+273.15)/273.15</f>
        <v>15.83194372183365</v>
      </c>
      <c r="J149" s="23">
        <f>Tabelle1[[#This Row],[Realer Gasstrom]]/60</f>
        <v>0.26386572869722752</v>
      </c>
      <c r="K149" s="15">
        <f>Tabelle1[[#This Row],[Flüssigkeitsgeschwindigkeit]]*60</f>
        <v>1.2</v>
      </c>
      <c r="L149" s="15">
        <v>0.02</v>
      </c>
      <c r="M149" s="15">
        <v>22.3</v>
      </c>
      <c r="N149" s="15">
        <v>101500</v>
      </c>
      <c r="O149" s="15">
        <v>1</v>
      </c>
      <c r="P149" s="15">
        <v>3</v>
      </c>
      <c r="R149" t="s">
        <v>25</v>
      </c>
      <c r="S149" s="15" t="s">
        <v>26</v>
      </c>
      <c r="T149">
        <v>1</v>
      </c>
      <c r="U149">
        <v>0.6</v>
      </c>
      <c r="V149">
        <v>1</v>
      </c>
      <c r="W149">
        <v>0.2</v>
      </c>
      <c r="X149" s="15">
        <v>72</v>
      </c>
      <c r="AT149" s="31" t="s">
        <v>28</v>
      </c>
      <c r="AU149" s="28">
        <v>0.19</v>
      </c>
      <c r="AV149" s="28">
        <v>0.16700000000000001</v>
      </c>
      <c r="BS149" s="34" t="s">
        <v>23</v>
      </c>
      <c r="BT149" s="29">
        <v>0.11</v>
      </c>
      <c r="BU149" s="29">
        <v>0.19400000000000001</v>
      </c>
      <c r="BW149" s="34" t="s">
        <v>23</v>
      </c>
      <c r="BX149" s="28">
        <v>0.11</v>
      </c>
      <c r="BY149" s="28">
        <v>0.19400000000000001</v>
      </c>
    </row>
    <row r="150" spans="1:77" x14ac:dyDescent="0.25">
      <c r="A150" s="14"/>
      <c r="B150" s="24" t="s">
        <v>28</v>
      </c>
      <c r="C150" s="15" t="s">
        <v>193</v>
      </c>
      <c r="D150" s="15">
        <v>416</v>
      </c>
      <c r="E150" s="15" t="s">
        <v>195</v>
      </c>
      <c r="F150" s="21">
        <v>46099</v>
      </c>
      <c r="G150" s="22">
        <v>0.56527777777777799</v>
      </c>
      <c r="H150" s="23">
        <v>13.487165126984101</v>
      </c>
      <c r="I150" s="23">
        <f>(Tabelle1[[#This Row],[eingestellter 
Gasstrom]]*1.2693-2.457)*101325/Tabelle1[[#This Row],[Umgebungsdruck]]*(Tabelle1[[#This Row],[Umgebungstemperatur]]+273.15)/273.15</f>
        <v>15.83194372183365</v>
      </c>
      <c r="J150" s="23">
        <f>Tabelle1[[#This Row],[Realer Gasstrom]]/60</f>
        <v>0.26386572869722752</v>
      </c>
      <c r="K150" s="15">
        <f>Tabelle1[[#This Row],[Flüssigkeitsgeschwindigkeit]]*60</f>
        <v>3.36</v>
      </c>
      <c r="L150" s="15">
        <v>5.6000000000000001E-2</v>
      </c>
      <c r="M150" s="15">
        <v>22.3</v>
      </c>
      <c r="N150" s="15">
        <v>101500</v>
      </c>
      <c r="O150" s="15">
        <v>1</v>
      </c>
      <c r="P150" s="15">
        <v>3</v>
      </c>
      <c r="R150" t="s">
        <v>25</v>
      </c>
      <c r="S150" s="15" t="s">
        <v>26</v>
      </c>
      <c r="T150">
        <v>1</v>
      </c>
      <c r="U150">
        <v>0.6</v>
      </c>
      <c r="V150">
        <v>1</v>
      </c>
      <c r="W150">
        <v>0.2</v>
      </c>
      <c r="X150" s="15">
        <v>72</v>
      </c>
      <c r="AT150" s="31" t="s">
        <v>28</v>
      </c>
      <c r="AU150" s="29">
        <v>0.19</v>
      </c>
      <c r="AV150" s="29">
        <v>0.19400000000000001</v>
      </c>
      <c r="BS150" s="33" t="s">
        <v>38</v>
      </c>
      <c r="BT150" s="28">
        <v>0.11</v>
      </c>
      <c r="BU150" s="28">
        <v>0.25</v>
      </c>
      <c r="BW150" s="32" t="s">
        <v>31</v>
      </c>
      <c r="BX150" s="29">
        <v>0.15</v>
      </c>
      <c r="BY150" s="29">
        <v>0.02</v>
      </c>
    </row>
    <row r="151" spans="1:77" x14ac:dyDescent="0.25">
      <c r="A151" s="14"/>
      <c r="B151" s="24" t="s">
        <v>28</v>
      </c>
      <c r="C151" s="15" t="s">
        <v>193</v>
      </c>
      <c r="D151" s="15">
        <v>416</v>
      </c>
      <c r="E151" s="15" t="s">
        <v>196</v>
      </c>
      <c r="F151" s="21">
        <v>46099</v>
      </c>
      <c r="G151" s="22">
        <v>0.56666666666666698</v>
      </c>
      <c r="H151" s="23">
        <v>13.487165126984101</v>
      </c>
      <c r="I151" s="23">
        <f>(Tabelle1[[#This Row],[eingestellter 
Gasstrom]]*1.2693-2.457)*101325/Tabelle1[[#This Row],[Umgebungsdruck]]*(Tabelle1[[#This Row],[Umgebungstemperatur]]+273.15)/273.15</f>
        <v>15.83194372183365</v>
      </c>
      <c r="J151" s="23">
        <f>Tabelle1[[#This Row],[Realer Gasstrom]]/60</f>
        <v>0.26386572869722752</v>
      </c>
      <c r="K151" s="15">
        <f>Tabelle1[[#This Row],[Flüssigkeitsgeschwindigkeit]]*60</f>
        <v>6.66</v>
      </c>
      <c r="L151" s="15">
        <v>0.111</v>
      </c>
      <c r="M151" s="15">
        <v>22.3</v>
      </c>
      <c r="N151" s="15">
        <v>101500</v>
      </c>
      <c r="O151" s="15">
        <v>1</v>
      </c>
      <c r="P151" s="15">
        <v>3</v>
      </c>
      <c r="R151" t="s">
        <v>25</v>
      </c>
      <c r="S151" s="15" t="s">
        <v>26</v>
      </c>
      <c r="T151">
        <v>1</v>
      </c>
      <c r="U151">
        <v>0.6</v>
      </c>
      <c r="V151">
        <v>1</v>
      </c>
      <c r="W151">
        <v>0.2</v>
      </c>
      <c r="X151" s="15">
        <v>72</v>
      </c>
      <c r="AT151" s="31" t="s">
        <v>28</v>
      </c>
      <c r="AU151" s="28">
        <v>0.19</v>
      </c>
      <c r="AV151" s="28">
        <v>0.25</v>
      </c>
      <c r="BS151" s="31" t="s">
        <v>28</v>
      </c>
      <c r="BT151" s="29">
        <v>0.11</v>
      </c>
      <c r="BU151" s="29">
        <v>0.111</v>
      </c>
      <c r="BW151" s="31" t="s">
        <v>28</v>
      </c>
      <c r="BX151" s="28">
        <v>0.15</v>
      </c>
      <c r="BY151" s="28">
        <v>5.6000000000000001E-2</v>
      </c>
    </row>
    <row r="152" spans="1:77" x14ac:dyDescent="0.25">
      <c r="A152" s="14"/>
      <c r="B152" s="24" t="s">
        <v>28</v>
      </c>
      <c r="C152" s="15" t="s">
        <v>193</v>
      </c>
      <c r="D152" s="15">
        <v>416</v>
      </c>
      <c r="E152" s="15" t="s">
        <v>197</v>
      </c>
      <c r="F152" s="21">
        <v>46099</v>
      </c>
      <c r="G152" s="22">
        <v>0.56736111111111098</v>
      </c>
      <c r="H152" s="23">
        <v>13.487165126984101</v>
      </c>
      <c r="I152" s="23">
        <f>(Tabelle1[[#This Row],[eingestellter 
Gasstrom]]*1.2693-2.457)*101325/Tabelle1[[#This Row],[Umgebungsdruck]]*(Tabelle1[[#This Row],[Umgebungstemperatur]]+273.15)/273.15</f>
        <v>15.83194372183365</v>
      </c>
      <c r="J152" s="23">
        <f>Tabelle1[[#This Row],[Realer Gasstrom]]/60</f>
        <v>0.26386572869722752</v>
      </c>
      <c r="K152" s="15">
        <f>Tabelle1[[#This Row],[Flüssigkeitsgeschwindigkeit]]*60</f>
        <v>10.020000000000001</v>
      </c>
      <c r="L152" s="15">
        <v>0.16700000000000001</v>
      </c>
      <c r="M152" s="15">
        <v>22.3</v>
      </c>
      <c r="N152" s="15">
        <v>101500</v>
      </c>
      <c r="O152" s="15">
        <v>1</v>
      </c>
      <c r="P152" s="15">
        <v>3</v>
      </c>
      <c r="R152" t="s">
        <v>25</v>
      </c>
      <c r="S152" s="15" t="s">
        <v>26</v>
      </c>
      <c r="T152">
        <v>1</v>
      </c>
      <c r="U152">
        <v>0.6</v>
      </c>
      <c r="V152">
        <v>1</v>
      </c>
      <c r="W152">
        <v>0.2</v>
      </c>
      <c r="X152" s="15">
        <v>72</v>
      </c>
      <c r="AT152" s="31" t="s">
        <v>28</v>
      </c>
      <c r="AU152" s="29">
        <v>0.19</v>
      </c>
      <c r="AV152" s="29">
        <v>0.4</v>
      </c>
      <c r="BS152" s="31" t="s">
        <v>28</v>
      </c>
      <c r="BT152" s="28">
        <v>0.11</v>
      </c>
      <c r="BU152" s="28">
        <v>5.6000000000000001E-2</v>
      </c>
      <c r="BW152" s="31" t="s">
        <v>28</v>
      </c>
      <c r="BX152" s="29">
        <v>0.15</v>
      </c>
      <c r="BY152" s="29">
        <v>0.111</v>
      </c>
    </row>
    <row r="153" spans="1:77" x14ac:dyDescent="0.25">
      <c r="A153" s="14"/>
      <c r="B153" s="24" t="s">
        <v>28</v>
      </c>
      <c r="C153" s="15" t="s">
        <v>193</v>
      </c>
      <c r="D153" s="15">
        <v>416</v>
      </c>
      <c r="E153" s="15" t="s">
        <v>198</v>
      </c>
      <c r="F153" s="21">
        <v>46099</v>
      </c>
      <c r="G153" s="22">
        <v>0.56874999999999998</v>
      </c>
      <c r="H153" s="23">
        <v>13.487165126984101</v>
      </c>
      <c r="I153" s="23">
        <f>(Tabelle1[[#This Row],[eingestellter 
Gasstrom]]*1.2693-2.457)*101325/Tabelle1[[#This Row],[Umgebungsdruck]]*(Tabelle1[[#This Row],[Umgebungstemperatur]]+273.15)/273.15</f>
        <v>15.83194372183365</v>
      </c>
      <c r="J153" s="23">
        <f>Tabelle1[[#This Row],[Realer Gasstrom]]/60</f>
        <v>0.26386572869722752</v>
      </c>
      <c r="K153" s="15">
        <f>Tabelle1[[#This Row],[Flüssigkeitsgeschwindigkeit]]*60</f>
        <v>11.64</v>
      </c>
      <c r="L153" s="15">
        <v>0.19400000000000001</v>
      </c>
      <c r="M153" s="15">
        <v>22.3</v>
      </c>
      <c r="N153" s="15">
        <v>101500</v>
      </c>
      <c r="O153" s="15">
        <v>1</v>
      </c>
      <c r="P153" s="15">
        <v>3</v>
      </c>
      <c r="R153" t="s">
        <v>25</v>
      </c>
      <c r="S153" s="15" t="s">
        <v>26</v>
      </c>
      <c r="T153">
        <v>1</v>
      </c>
      <c r="U153">
        <v>0.6</v>
      </c>
      <c r="V153">
        <v>1</v>
      </c>
      <c r="W153">
        <v>0.2</v>
      </c>
      <c r="X153" s="15">
        <v>72</v>
      </c>
      <c r="AT153" s="31" t="s">
        <v>28</v>
      </c>
      <c r="AU153" s="28">
        <v>0.03</v>
      </c>
      <c r="AV153" s="28">
        <v>5.6000000000000001E-2</v>
      </c>
      <c r="BS153" s="32" t="s">
        <v>31</v>
      </c>
      <c r="BT153" s="29">
        <v>0.15</v>
      </c>
      <c r="BU153" s="29">
        <v>0.01</v>
      </c>
      <c r="BW153" s="31" t="s">
        <v>28</v>
      </c>
      <c r="BX153" s="28">
        <v>0.15</v>
      </c>
      <c r="BY153" s="28">
        <v>0.16700000000000001</v>
      </c>
    </row>
    <row r="154" spans="1:77" x14ac:dyDescent="0.25">
      <c r="A154" s="14"/>
      <c r="B154" s="24" t="s">
        <v>28</v>
      </c>
      <c r="C154" s="15" t="s">
        <v>193</v>
      </c>
      <c r="D154" s="15">
        <v>416</v>
      </c>
      <c r="E154" s="15" t="s">
        <v>199</v>
      </c>
      <c r="F154" s="21">
        <v>46099</v>
      </c>
      <c r="G154" s="22">
        <v>0.57013888888888897</v>
      </c>
      <c r="H154" s="23">
        <v>13.487165126984101</v>
      </c>
      <c r="I154" s="23">
        <f>(Tabelle1[[#This Row],[eingestellter 
Gasstrom]]*1.2693-2.457)*101325/Tabelle1[[#This Row],[Umgebungsdruck]]*(Tabelle1[[#This Row],[Umgebungstemperatur]]+273.15)/273.15</f>
        <v>15.83194372183365</v>
      </c>
      <c r="J154" s="23">
        <f>Tabelle1[[#This Row],[Realer Gasstrom]]/60</f>
        <v>0.26386572869722752</v>
      </c>
      <c r="K154" s="15">
        <f>Tabelle1[[#This Row],[Flüssigkeitsgeschwindigkeit]]*60</f>
        <v>15</v>
      </c>
      <c r="L154" s="15">
        <v>0.25</v>
      </c>
      <c r="M154" s="15">
        <v>22.3</v>
      </c>
      <c r="N154" s="15">
        <v>101500</v>
      </c>
      <c r="O154" s="15">
        <v>1</v>
      </c>
      <c r="P154" s="15">
        <v>3</v>
      </c>
      <c r="R154" t="s">
        <v>25</v>
      </c>
      <c r="S154" s="15" t="s">
        <v>26</v>
      </c>
      <c r="T154">
        <v>1</v>
      </c>
      <c r="U154">
        <v>0.6</v>
      </c>
      <c r="V154">
        <v>1</v>
      </c>
      <c r="W154">
        <v>0.2</v>
      </c>
      <c r="X154" s="15">
        <v>72</v>
      </c>
      <c r="BS154" s="31" t="s">
        <v>28</v>
      </c>
      <c r="BT154" s="28">
        <v>0.15</v>
      </c>
      <c r="BU154" s="28">
        <v>0.02</v>
      </c>
      <c r="BW154" s="31" t="s">
        <v>28</v>
      </c>
      <c r="BX154" s="29">
        <v>0.15</v>
      </c>
      <c r="BY154" s="29">
        <v>0.19400000000000001</v>
      </c>
    </row>
    <row r="155" spans="1:77" x14ac:dyDescent="0.25">
      <c r="A155" s="14"/>
      <c r="B155" s="24" t="s">
        <v>28</v>
      </c>
      <c r="C155" s="15" t="s">
        <v>193</v>
      </c>
      <c r="D155" s="15">
        <v>416</v>
      </c>
      <c r="E155" s="15" t="s">
        <v>200</v>
      </c>
      <c r="F155" s="21">
        <v>46099</v>
      </c>
      <c r="G155" s="22">
        <v>0.57083333333333297</v>
      </c>
      <c r="H155" s="23">
        <v>13.487165126984101</v>
      </c>
      <c r="I155" s="23">
        <f>(Tabelle1[[#This Row],[eingestellter 
Gasstrom]]*1.2693-2.457)*101325/Tabelle1[[#This Row],[Umgebungsdruck]]*(Tabelle1[[#This Row],[Umgebungstemperatur]]+273.15)/273.15</f>
        <v>15.83194372183365</v>
      </c>
      <c r="J155" s="23">
        <f>Tabelle1[[#This Row],[Realer Gasstrom]]/60</f>
        <v>0.26386572869722752</v>
      </c>
      <c r="K155" s="15">
        <f>Tabelle1[[#This Row],[Flüssigkeitsgeschwindigkeit]]*60</f>
        <v>24</v>
      </c>
      <c r="L155" s="15">
        <v>0.4</v>
      </c>
      <c r="M155" s="15">
        <v>22.3</v>
      </c>
      <c r="N155" s="15">
        <v>101500</v>
      </c>
      <c r="O155" s="15">
        <v>1</v>
      </c>
      <c r="P155" s="15">
        <v>3</v>
      </c>
      <c r="R155" t="s">
        <v>25</v>
      </c>
      <c r="S155" s="15" t="s">
        <v>26</v>
      </c>
      <c r="T155">
        <v>1</v>
      </c>
      <c r="U155">
        <v>0.6</v>
      </c>
      <c r="V155">
        <v>1</v>
      </c>
      <c r="W155">
        <v>0.2</v>
      </c>
      <c r="X155" s="15">
        <v>72</v>
      </c>
      <c r="BS155" s="31" t="s">
        <v>28</v>
      </c>
      <c r="BT155" s="29">
        <v>0.15</v>
      </c>
      <c r="BU155" s="29">
        <v>5.6000000000000001E-2</v>
      </c>
      <c r="BW155" s="31" t="s">
        <v>28</v>
      </c>
      <c r="BX155" s="28">
        <v>0.15</v>
      </c>
      <c r="BY155" s="28">
        <v>0.25</v>
      </c>
    </row>
    <row r="156" spans="1:77" x14ac:dyDescent="0.25">
      <c r="A156" s="14"/>
      <c r="B156" s="25" t="s">
        <v>201</v>
      </c>
      <c r="C156" s="15" t="s">
        <v>202</v>
      </c>
      <c r="D156" s="15">
        <v>0</v>
      </c>
      <c r="E156" s="15" t="s">
        <v>203</v>
      </c>
      <c r="F156" s="21">
        <v>46100</v>
      </c>
      <c r="G156" s="22">
        <v>0.61319444444444504</v>
      </c>
      <c r="H156" s="23">
        <v>3.8631598258855799</v>
      </c>
      <c r="I156" s="23">
        <f>(Tabelle1[[#This Row],[eingestellter 
Gasstrom]]*1.2693-2.457)*101325/Tabelle1[[#This Row],[Umgebungsdruck]]*(Tabelle1[[#This Row],[Umgebungstemperatur]]+273.15)/273.15</f>
        <v>2.6686551392793212</v>
      </c>
      <c r="J156" s="35">
        <f>(Tabelle1[[#This Row],[Realer Gasstrom]] / 60) / ((PI() * (Tabelle1[[#This Row],[Kanalmaße]]/2)^2))</f>
        <v>5.6630620909852582E-2</v>
      </c>
      <c r="K156" s="23">
        <f>Tabelle1[[#This Row],[Flüssigkeitsgeschwindigkeit]]*PI()*(0.001)^2/4*1000000*60</f>
        <v>2.638937829015426</v>
      </c>
      <c r="L156" s="15">
        <v>5.6000000000000001E-2</v>
      </c>
      <c r="M156" s="15">
        <v>22.2</v>
      </c>
      <c r="N156" s="15">
        <v>100440</v>
      </c>
      <c r="P156" s="15">
        <v>1</v>
      </c>
      <c r="R156" t="s">
        <v>204</v>
      </c>
      <c r="S156" s="15" t="s">
        <v>205</v>
      </c>
      <c r="T156">
        <v>1</v>
      </c>
      <c r="U156">
        <v>0.6</v>
      </c>
      <c r="V156">
        <v>1</v>
      </c>
      <c r="W156">
        <v>0.2</v>
      </c>
      <c r="X156" s="15">
        <v>72</v>
      </c>
      <c r="BS156" s="31" t="s">
        <v>28</v>
      </c>
      <c r="BT156" s="28">
        <v>0.15</v>
      </c>
      <c r="BU156" s="28">
        <v>0.111</v>
      </c>
      <c r="BW156" s="31" t="s">
        <v>28</v>
      </c>
      <c r="BX156" s="29">
        <v>0.15</v>
      </c>
      <c r="BY156" s="29">
        <v>0.4</v>
      </c>
    </row>
    <row r="157" spans="1:77" x14ac:dyDescent="0.25">
      <c r="A157" s="14"/>
      <c r="B157" s="24" t="s">
        <v>28</v>
      </c>
      <c r="C157" s="15" t="s">
        <v>202</v>
      </c>
      <c r="D157" s="15">
        <v>0</v>
      </c>
      <c r="E157" s="15" t="s">
        <v>206</v>
      </c>
      <c r="F157" s="21">
        <v>46100</v>
      </c>
      <c r="G157" s="22">
        <v>0.61527777777777803</v>
      </c>
      <c r="H157" s="23">
        <v>3.8631598258855799</v>
      </c>
      <c r="I157" s="23">
        <f>(Tabelle1[[#This Row],[eingestellter 
Gasstrom]]*1.2693-2.457)*101325/Tabelle1[[#This Row],[Umgebungsdruck]]*(Tabelle1[[#This Row],[Umgebungstemperatur]]+273.15)/273.15</f>
        <v>2.6686551392793212</v>
      </c>
      <c r="J157" s="35">
        <f>(Tabelle1[[#This Row],[Realer Gasstrom]] / 60) / ((PI() * (Tabelle1[[#This Row],[Kanalmaße]]/2)^2))</f>
        <v>5.6630620909852582E-2</v>
      </c>
      <c r="K157" s="23">
        <f>Tabelle1[[#This Row],[Flüssigkeitsgeschwindigkeit]]*PI()*(0.001)^2/4*1000000*60</f>
        <v>5.2307517682270053</v>
      </c>
      <c r="L157" s="15">
        <v>0.111</v>
      </c>
      <c r="M157" s="15">
        <v>22.2</v>
      </c>
      <c r="N157" s="15">
        <v>100440</v>
      </c>
      <c r="P157" s="15">
        <v>1</v>
      </c>
      <c r="R157" t="s">
        <v>204</v>
      </c>
      <c r="S157" s="15" t="s">
        <v>205</v>
      </c>
      <c r="T157">
        <v>1</v>
      </c>
      <c r="U157">
        <v>0.6</v>
      </c>
      <c r="V157">
        <v>1</v>
      </c>
      <c r="W157">
        <v>0.2</v>
      </c>
      <c r="X157" s="15">
        <v>72</v>
      </c>
      <c r="BS157" s="31" t="s">
        <v>28</v>
      </c>
      <c r="BT157" s="29">
        <v>0.15</v>
      </c>
      <c r="BU157" s="29">
        <v>0.16700000000000001</v>
      </c>
      <c r="BW157" s="32" t="s">
        <v>31</v>
      </c>
      <c r="BX157" s="28">
        <v>0.19</v>
      </c>
      <c r="BY157" s="28">
        <v>0.02</v>
      </c>
    </row>
    <row r="158" spans="1:77" x14ac:dyDescent="0.25">
      <c r="A158" s="14"/>
      <c r="B158" s="24" t="s">
        <v>28</v>
      </c>
      <c r="C158" s="15" t="s">
        <v>202</v>
      </c>
      <c r="D158" s="15">
        <v>0</v>
      </c>
      <c r="E158" s="15" t="s">
        <v>207</v>
      </c>
      <c r="F158" s="21">
        <v>46100</v>
      </c>
      <c r="G158" s="22">
        <v>0.61736111111111103</v>
      </c>
      <c r="H158" s="23">
        <v>6.0706797263916297</v>
      </c>
      <c r="I158" s="23">
        <f>(Tabelle1[[#This Row],[eingestellter 
Gasstrom]]*1.2693-2.457)*101325/Tabelle1[[#This Row],[Umgebungsdruck]]*(Tabelle1[[#This Row],[Umgebungstemperatur]]+273.15)/273.15</f>
        <v>5.7250860707061468</v>
      </c>
      <c r="J158" s="35">
        <f>(Tabelle1[[#This Row],[Realer Gasstrom]] / 60) / ((PI() * (Tabelle1[[#This Row],[Kanalmaße]]/2)^2))</f>
        <v>0.12149009970392527</v>
      </c>
      <c r="K158" s="23">
        <f>Tabelle1[[#This Row],[Flüssigkeitsgeschwindigkeit]]*PI()*(0.001)^2/4*1000000*60</f>
        <v>2.638937829015426</v>
      </c>
      <c r="L158" s="15">
        <v>5.6000000000000001E-2</v>
      </c>
      <c r="M158" s="15">
        <v>22.2</v>
      </c>
      <c r="N158" s="15">
        <v>100440</v>
      </c>
      <c r="P158" s="15">
        <v>1</v>
      </c>
      <c r="R158" t="s">
        <v>204</v>
      </c>
      <c r="S158" s="15" t="s">
        <v>205</v>
      </c>
      <c r="T158">
        <v>1</v>
      </c>
      <c r="U158">
        <v>0.6</v>
      </c>
      <c r="V158">
        <v>1</v>
      </c>
      <c r="W158">
        <v>0.2</v>
      </c>
      <c r="X158" s="15">
        <v>72</v>
      </c>
      <c r="BS158" s="31" t="s">
        <v>28</v>
      </c>
      <c r="BT158" s="28">
        <v>0.15</v>
      </c>
      <c r="BU158" s="28">
        <v>0.19400000000000001</v>
      </c>
      <c r="BW158" s="31" t="s">
        <v>28</v>
      </c>
      <c r="BX158" s="29">
        <v>0.19</v>
      </c>
      <c r="BY158" s="29">
        <v>5.6000000000000001E-2</v>
      </c>
    </row>
    <row r="159" spans="1:77" x14ac:dyDescent="0.25">
      <c r="A159" s="14"/>
      <c r="B159" s="24" t="s">
        <v>28</v>
      </c>
      <c r="C159" s="15" t="s">
        <v>202</v>
      </c>
      <c r="D159" s="15">
        <v>0</v>
      </c>
      <c r="E159" s="15" t="s">
        <v>208</v>
      </c>
      <c r="F159" s="21">
        <v>46100</v>
      </c>
      <c r="G159" s="22">
        <v>0.61944444444444502</v>
      </c>
      <c r="H159" s="23">
        <v>6.0706797263916297</v>
      </c>
      <c r="I159" s="23">
        <f>(Tabelle1[[#This Row],[eingestellter 
Gasstrom]]*1.2693-2.457)*101325/Tabelle1[[#This Row],[Umgebungsdruck]]*(Tabelle1[[#This Row],[Umgebungstemperatur]]+273.15)/273.15</f>
        <v>5.7250860707061468</v>
      </c>
      <c r="J159" s="35">
        <f>(Tabelle1[[#This Row],[Realer Gasstrom]] / 60) / ((PI() * (Tabelle1[[#This Row],[Kanalmaße]]/2)^2))</f>
        <v>0.12149009970392527</v>
      </c>
      <c r="K159" s="23">
        <f>Tabelle1[[#This Row],[Flüssigkeitsgeschwindigkeit]]*PI()*(0.001)^2/4*1000000*60</f>
        <v>5.2307517682270053</v>
      </c>
      <c r="L159" s="15">
        <v>0.111</v>
      </c>
      <c r="M159" s="15">
        <v>22.2</v>
      </c>
      <c r="N159" s="15">
        <v>100440</v>
      </c>
      <c r="P159" s="15">
        <v>1</v>
      </c>
      <c r="R159" t="s">
        <v>204</v>
      </c>
      <c r="S159" s="15" t="s">
        <v>205</v>
      </c>
      <c r="T159">
        <v>1</v>
      </c>
      <c r="U159">
        <v>0.6</v>
      </c>
      <c r="V159">
        <v>1</v>
      </c>
      <c r="W159">
        <v>0.2</v>
      </c>
      <c r="X159" s="15">
        <v>72</v>
      </c>
      <c r="BS159" s="31" t="s">
        <v>28</v>
      </c>
      <c r="BT159" s="29">
        <v>0.15</v>
      </c>
      <c r="BU159" s="29">
        <v>0.25</v>
      </c>
      <c r="BW159" s="31" t="s">
        <v>28</v>
      </c>
      <c r="BX159" s="28">
        <v>0.19</v>
      </c>
      <c r="BY159" s="28">
        <v>0.111</v>
      </c>
    </row>
    <row r="160" spans="1:77" x14ac:dyDescent="0.25">
      <c r="A160" s="14"/>
      <c r="B160" s="20" t="s">
        <v>23</v>
      </c>
      <c r="C160" s="15" t="s">
        <v>202</v>
      </c>
      <c r="D160" s="15">
        <v>0</v>
      </c>
      <c r="E160" s="15" t="s">
        <v>209</v>
      </c>
      <c r="F160" s="21">
        <v>46100</v>
      </c>
      <c r="G160" s="22">
        <v>0.62013888888888902</v>
      </c>
      <c r="H160" s="23">
        <v>6.0706797263916297</v>
      </c>
      <c r="I160" s="23">
        <f>(Tabelle1[[#This Row],[eingestellter 
Gasstrom]]*1.2693-2.457)*101325/Tabelle1[[#This Row],[Umgebungsdruck]]*(Tabelle1[[#This Row],[Umgebungstemperatur]]+273.15)/273.15</f>
        <v>5.7250860707061468</v>
      </c>
      <c r="J160" s="35">
        <f>(Tabelle1[[#This Row],[Realer Gasstrom]] / 60) / ((PI() * (Tabelle1[[#This Row],[Kanalmaße]]/2)^2))</f>
        <v>0.12149009970392527</v>
      </c>
      <c r="K160" s="23">
        <f>Tabelle1[[#This Row],[Flüssigkeitsgeschwindigkeit]]*PI()*(0.001)^2/4*1000000*60</f>
        <v>7.8696895972424317</v>
      </c>
      <c r="L160" s="15">
        <v>0.16700000000000001</v>
      </c>
      <c r="M160" s="15">
        <v>22.2</v>
      </c>
      <c r="N160" s="15">
        <v>100440</v>
      </c>
      <c r="P160" s="15">
        <v>1</v>
      </c>
      <c r="R160" t="s">
        <v>204</v>
      </c>
      <c r="S160" s="15" t="s">
        <v>205</v>
      </c>
      <c r="T160">
        <v>1</v>
      </c>
      <c r="U160">
        <v>0.6</v>
      </c>
      <c r="V160">
        <v>1</v>
      </c>
      <c r="W160">
        <v>0.2</v>
      </c>
      <c r="X160" s="15">
        <v>72</v>
      </c>
      <c r="BS160" s="31" t="s">
        <v>28</v>
      </c>
      <c r="BT160" s="28">
        <v>0.15</v>
      </c>
      <c r="BU160" s="28">
        <v>0.4</v>
      </c>
      <c r="BW160" s="31" t="s">
        <v>28</v>
      </c>
      <c r="BX160" s="29">
        <v>0.19</v>
      </c>
      <c r="BY160" s="29">
        <v>0.16700000000000001</v>
      </c>
    </row>
    <row r="161" spans="1:77" x14ac:dyDescent="0.25">
      <c r="A161" s="14"/>
      <c r="B161" s="24" t="s">
        <v>28</v>
      </c>
      <c r="C161" s="15" t="s">
        <v>202</v>
      </c>
      <c r="D161" s="15">
        <v>0</v>
      </c>
      <c r="E161" s="15" t="s">
        <v>210</v>
      </c>
      <c r="F161" s="21">
        <v>46100</v>
      </c>
      <c r="G161" s="22">
        <v>0.62222222222222201</v>
      </c>
      <c r="H161" s="23">
        <v>8.2781996268976705</v>
      </c>
      <c r="I161" s="23">
        <f>(Tabelle1[[#This Row],[eingestellter 
Gasstrom]]*1.2693-2.457)*101325/Tabelle1[[#This Row],[Umgebungsdruck]]*(Tabelle1[[#This Row],[Umgebungstemperatur]]+273.15)/273.15</f>
        <v>8.7815170021329596</v>
      </c>
      <c r="J161" s="35">
        <f>(Tabelle1[[#This Row],[Realer Gasstrom]] / 60) / ((PI() * (Tabelle1[[#This Row],[Kanalmaße]]/2)^2))</f>
        <v>0.18634957849799769</v>
      </c>
      <c r="K161" s="23">
        <f>Tabelle1[[#This Row],[Flüssigkeitsgeschwindigkeit]]*PI()*(0.001)^2/4*1000000*60</f>
        <v>2.638937829015426</v>
      </c>
      <c r="L161" s="15">
        <v>5.6000000000000001E-2</v>
      </c>
      <c r="M161" s="15">
        <v>22.2</v>
      </c>
      <c r="N161" s="15">
        <v>100440</v>
      </c>
      <c r="O161" s="15">
        <v>0.7</v>
      </c>
      <c r="P161" s="15">
        <v>1</v>
      </c>
      <c r="R161" t="s">
        <v>204</v>
      </c>
      <c r="S161" s="15" t="s">
        <v>205</v>
      </c>
      <c r="T161">
        <v>1</v>
      </c>
      <c r="U161">
        <v>0.6</v>
      </c>
      <c r="V161">
        <v>1</v>
      </c>
      <c r="W161">
        <v>0.2</v>
      </c>
      <c r="X161" s="15">
        <v>72</v>
      </c>
      <c r="BS161" s="33" t="s">
        <v>175</v>
      </c>
      <c r="BT161" s="29">
        <v>0.15</v>
      </c>
      <c r="BU161" s="29">
        <v>0.5</v>
      </c>
      <c r="BW161" s="31" t="s">
        <v>28</v>
      </c>
      <c r="BX161" s="28">
        <v>0.19</v>
      </c>
      <c r="BY161" s="28">
        <v>0.19400000000000001</v>
      </c>
    </row>
    <row r="162" spans="1:77" x14ac:dyDescent="0.25">
      <c r="A162" s="14"/>
      <c r="B162" s="24" t="s">
        <v>28</v>
      </c>
      <c r="C162" s="15" t="s">
        <v>202</v>
      </c>
      <c r="D162" s="15">
        <v>0</v>
      </c>
      <c r="E162" s="15" t="s">
        <v>211</v>
      </c>
      <c r="F162" s="21">
        <v>46100</v>
      </c>
      <c r="G162" s="22">
        <v>0.624305555555556</v>
      </c>
      <c r="H162" s="23">
        <v>8.2781996268976705</v>
      </c>
      <c r="I162" s="23">
        <f>(Tabelle1[[#This Row],[eingestellter 
Gasstrom]]*1.2693-2.457)*101325/Tabelle1[[#This Row],[Umgebungsdruck]]*(Tabelle1[[#This Row],[Umgebungstemperatur]]+273.15)/273.15</f>
        <v>8.7815170021329596</v>
      </c>
      <c r="J162" s="35">
        <f>(Tabelle1[[#This Row],[Realer Gasstrom]] / 60) / ((PI() * (Tabelle1[[#This Row],[Kanalmaße]]/2)^2))</f>
        <v>0.18634957849799769</v>
      </c>
      <c r="K162" s="23">
        <f>Tabelle1[[#This Row],[Flüssigkeitsgeschwindigkeit]]*PI()*(0.001)^2/4*1000000*60</f>
        <v>5.2307517682270053</v>
      </c>
      <c r="L162" s="15">
        <v>0.111</v>
      </c>
      <c r="M162" s="15">
        <v>22.2</v>
      </c>
      <c r="N162" s="15">
        <v>100440</v>
      </c>
      <c r="O162" s="15">
        <v>0.7</v>
      </c>
      <c r="P162" s="15">
        <v>1</v>
      </c>
      <c r="R162" t="s">
        <v>204</v>
      </c>
      <c r="S162" s="15" t="s">
        <v>205</v>
      </c>
      <c r="T162">
        <v>1</v>
      </c>
      <c r="U162">
        <v>0.6</v>
      </c>
      <c r="V162">
        <v>1</v>
      </c>
      <c r="W162">
        <v>0.2</v>
      </c>
      <c r="X162" s="15">
        <v>72</v>
      </c>
      <c r="BS162" s="32" t="s">
        <v>31</v>
      </c>
      <c r="BT162" s="28">
        <v>0.19</v>
      </c>
      <c r="BU162" s="28">
        <v>0.01</v>
      </c>
      <c r="BW162" s="31" t="s">
        <v>28</v>
      </c>
      <c r="BX162" s="29">
        <v>0.19</v>
      </c>
      <c r="BY162" s="29">
        <v>0.25</v>
      </c>
    </row>
    <row r="163" spans="1:77" x14ac:dyDescent="0.25">
      <c r="A163" s="14"/>
      <c r="B163" s="24" t="s">
        <v>28</v>
      </c>
      <c r="C163" s="15" t="s">
        <v>202</v>
      </c>
      <c r="D163" s="15">
        <v>0</v>
      </c>
      <c r="E163" s="15" t="s">
        <v>212</v>
      </c>
      <c r="F163" s="21">
        <v>46100</v>
      </c>
      <c r="G163" s="22">
        <v>0.625</v>
      </c>
      <c r="H163" s="23">
        <v>8.2781996268976705</v>
      </c>
      <c r="I163" s="23">
        <f>(Tabelle1[[#This Row],[eingestellter 
Gasstrom]]*1.2693-2.457)*101325/Tabelle1[[#This Row],[Umgebungsdruck]]*(Tabelle1[[#This Row],[Umgebungstemperatur]]+273.15)/273.15</f>
        <v>8.7815170021329596</v>
      </c>
      <c r="J163" s="35">
        <f>(Tabelle1[[#This Row],[Realer Gasstrom]] / 60) / ((PI() * (Tabelle1[[#This Row],[Kanalmaße]]/2)^2))</f>
        <v>0.18634957849799769</v>
      </c>
      <c r="K163" s="23">
        <f>Tabelle1[[#This Row],[Flüssigkeitsgeschwindigkeit]]*PI()*(0.001)^2/4*1000000*60</f>
        <v>7.8696895972424317</v>
      </c>
      <c r="L163" s="15">
        <v>0.16700000000000001</v>
      </c>
      <c r="M163" s="15">
        <v>22.2</v>
      </c>
      <c r="N163" s="15">
        <v>100440</v>
      </c>
      <c r="O163" s="15">
        <v>0.7</v>
      </c>
      <c r="P163" s="15">
        <v>1</v>
      </c>
      <c r="R163" t="s">
        <v>204</v>
      </c>
      <c r="S163" s="15" t="s">
        <v>205</v>
      </c>
      <c r="T163">
        <v>1</v>
      </c>
      <c r="U163">
        <v>0.6</v>
      </c>
      <c r="V163">
        <v>1</v>
      </c>
      <c r="W163">
        <v>0.2</v>
      </c>
      <c r="X163" s="15">
        <v>72</v>
      </c>
      <c r="BS163" s="31" t="s">
        <v>28</v>
      </c>
      <c r="BT163" s="29">
        <v>0.19</v>
      </c>
      <c r="BU163" s="29">
        <v>0.02</v>
      </c>
      <c r="BW163" s="31" t="s">
        <v>28</v>
      </c>
      <c r="BX163" s="28">
        <v>0.19</v>
      </c>
      <c r="BY163" s="28">
        <v>0.4</v>
      </c>
    </row>
    <row r="164" spans="1:77" x14ac:dyDescent="0.25">
      <c r="A164" s="14"/>
      <c r="B164" s="20" t="s">
        <v>23</v>
      </c>
      <c r="C164" s="15" t="s">
        <v>202</v>
      </c>
      <c r="D164" s="15">
        <v>0</v>
      </c>
      <c r="E164" s="15" t="s">
        <v>213</v>
      </c>
      <c r="F164" s="21">
        <v>46100</v>
      </c>
      <c r="G164" s="22">
        <v>0.62638888888888899</v>
      </c>
      <c r="H164" s="23">
        <v>8.2781996268976705</v>
      </c>
      <c r="I164" s="23">
        <f>(Tabelle1[[#This Row],[eingestellter 
Gasstrom]]*1.2693-2.457)*101325/Tabelle1[[#This Row],[Umgebungsdruck]]*(Tabelle1[[#This Row],[Umgebungstemperatur]]+273.15)/273.15</f>
        <v>8.7815170021329596</v>
      </c>
      <c r="J164" s="35">
        <f>(Tabelle1[[#This Row],[Realer Gasstrom]] / 60) / ((PI() * (Tabelle1[[#This Row],[Kanalmaße]]/2)^2))</f>
        <v>0.18634957849799769</v>
      </c>
      <c r="K164" s="23">
        <f>Tabelle1[[#This Row],[Flüssigkeitsgeschwindigkeit]]*PI()*(0.001)^2/4*1000000*60</f>
        <v>11.780972450961723</v>
      </c>
      <c r="L164" s="15">
        <v>0.25</v>
      </c>
      <c r="M164" s="15">
        <v>22.2</v>
      </c>
      <c r="N164" s="15">
        <v>100440</v>
      </c>
      <c r="O164" s="15">
        <v>0.7</v>
      </c>
      <c r="P164" s="15">
        <v>1</v>
      </c>
      <c r="R164" t="s">
        <v>204</v>
      </c>
      <c r="S164" s="15" t="s">
        <v>205</v>
      </c>
      <c r="T164">
        <v>1</v>
      </c>
      <c r="U164">
        <v>0.6</v>
      </c>
      <c r="V164">
        <v>1</v>
      </c>
      <c r="W164">
        <v>0.2</v>
      </c>
      <c r="X164" s="15">
        <v>72</v>
      </c>
      <c r="BS164" s="31" t="s">
        <v>28</v>
      </c>
      <c r="BT164" s="28">
        <v>0.19</v>
      </c>
      <c r="BU164" s="28">
        <v>5.6000000000000001E-2</v>
      </c>
    </row>
    <row r="165" spans="1:77" x14ac:dyDescent="0.25">
      <c r="A165" s="14"/>
      <c r="B165" s="24" t="s">
        <v>28</v>
      </c>
      <c r="C165" s="15" t="s">
        <v>202</v>
      </c>
      <c r="D165" s="15">
        <v>0</v>
      </c>
      <c r="E165" s="15" t="s">
        <v>214</v>
      </c>
      <c r="F165" s="21">
        <v>46100</v>
      </c>
      <c r="G165" s="22">
        <v>0.62916666666666698</v>
      </c>
      <c r="H165" s="23">
        <v>10.485719527403701</v>
      </c>
      <c r="I165" s="23">
        <f>(Tabelle1[[#This Row],[eingestellter 
Gasstrom]]*1.2693-2.457)*101325/Tabelle1[[#This Row],[Umgebungsdruck]]*(Tabelle1[[#This Row],[Umgebungstemperatur]]+273.15)/273.15</f>
        <v>11.837947933559757</v>
      </c>
      <c r="J165" s="35">
        <f>(Tabelle1[[#This Row],[Realer Gasstrom]] / 60) / ((PI() * (Tabelle1[[#This Row],[Kanalmaße]]/2)^2))</f>
        <v>0.25120905729206977</v>
      </c>
      <c r="K165" s="23">
        <f>Tabelle1[[#This Row],[Flüssigkeitsgeschwindigkeit]]*PI()*(0.001)^2/4*1000000*60</f>
        <v>2.638937829015426</v>
      </c>
      <c r="L165" s="15">
        <v>5.6000000000000001E-2</v>
      </c>
      <c r="M165" s="15">
        <v>22.2</v>
      </c>
      <c r="N165" s="15">
        <v>100440</v>
      </c>
      <c r="O165" s="15">
        <v>0.8</v>
      </c>
      <c r="P165" s="15">
        <v>1</v>
      </c>
      <c r="R165" t="s">
        <v>204</v>
      </c>
      <c r="S165" s="15" t="s">
        <v>205</v>
      </c>
      <c r="T165">
        <v>1</v>
      </c>
      <c r="U165">
        <v>0.6</v>
      </c>
      <c r="V165">
        <v>1</v>
      </c>
      <c r="W165">
        <v>0.2</v>
      </c>
      <c r="X165" s="15">
        <v>72</v>
      </c>
      <c r="BS165" s="31" t="s">
        <v>28</v>
      </c>
      <c r="BT165" s="29">
        <v>0.19</v>
      </c>
      <c r="BU165" s="29">
        <v>0.111</v>
      </c>
    </row>
    <row r="166" spans="1:77" x14ac:dyDescent="0.25">
      <c r="A166" s="14"/>
      <c r="B166" s="24" t="s">
        <v>28</v>
      </c>
      <c r="C166" s="15" t="s">
        <v>202</v>
      </c>
      <c r="D166" s="15">
        <v>0</v>
      </c>
      <c r="E166" s="15" t="s">
        <v>215</v>
      </c>
      <c r="F166" s="21">
        <v>46100</v>
      </c>
      <c r="G166" s="22">
        <v>0.62986111111111098</v>
      </c>
      <c r="H166" s="23">
        <v>10.485719527403701</v>
      </c>
      <c r="I166" s="23">
        <f>(Tabelle1[[#This Row],[eingestellter 
Gasstrom]]*1.2693-2.457)*101325/Tabelle1[[#This Row],[Umgebungsdruck]]*(Tabelle1[[#This Row],[Umgebungstemperatur]]+273.15)/273.15</f>
        <v>11.837947933559757</v>
      </c>
      <c r="J166" s="35">
        <f>(Tabelle1[[#This Row],[Realer Gasstrom]] / 60) / ((PI() * (Tabelle1[[#This Row],[Kanalmaße]]/2)^2))</f>
        <v>0.25120905729206977</v>
      </c>
      <c r="K166" s="23">
        <f>Tabelle1[[#This Row],[Flüssigkeitsgeschwindigkeit]]*PI()*(0.001)^2/4*1000000*60</f>
        <v>5.2307517682270053</v>
      </c>
      <c r="L166" s="15">
        <v>0.111</v>
      </c>
      <c r="M166" s="15">
        <v>22.2</v>
      </c>
      <c r="N166" s="15">
        <v>100440</v>
      </c>
      <c r="P166" s="15">
        <v>1</v>
      </c>
      <c r="R166" t="s">
        <v>204</v>
      </c>
      <c r="S166" s="15" t="s">
        <v>205</v>
      </c>
      <c r="T166">
        <v>1</v>
      </c>
      <c r="U166">
        <v>0.6</v>
      </c>
      <c r="V166">
        <v>1</v>
      </c>
      <c r="W166">
        <v>0.2</v>
      </c>
      <c r="X166" s="15">
        <v>72</v>
      </c>
      <c r="BS166" s="31" t="s">
        <v>28</v>
      </c>
      <c r="BT166" s="28">
        <v>0.19</v>
      </c>
      <c r="BU166" s="28">
        <v>0.16700000000000001</v>
      </c>
    </row>
    <row r="167" spans="1:77" x14ac:dyDescent="0.25">
      <c r="A167" s="14"/>
      <c r="B167" s="24" t="s">
        <v>28</v>
      </c>
      <c r="C167" s="15" t="s">
        <v>202</v>
      </c>
      <c r="D167" s="15">
        <v>0</v>
      </c>
      <c r="E167" s="15" t="s">
        <v>216</v>
      </c>
      <c r="F167" s="21">
        <v>46100</v>
      </c>
      <c r="G167" s="22">
        <v>0.63124999999999998</v>
      </c>
      <c r="H167" s="23">
        <v>10.485719527403701</v>
      </c>
      <c r="I167" s="23">
        <f>(Tabelle1[[#This Row],[eingestellter 
Gasstrom]]*1.2693-2.457)*101325/Tabelle1[[#This Row],[Umgebungsdruck]]*(Tabelle1[[#This Row],[Umgebungstemperatur]]+273.15)/273.15</f>
        <v>11.837947933559757</v>
      </c>
      <c r="J167" s="35">
        <f>(Tabelle1[[#This Row],[Realer Gasstrom]] / 60) / ((PI() * (Tabelle1[[#This Row],[Kanalmaße]]/2)^2))</f>
        <v>0.25120905729206977</v>
      </c>
      <c r="K167" s="23">
        <f>Tabelle1[[#This Row],[Flüssigkeitsgeschwindigkeit]]*PI()*(0.001)^2/4*1000000*60</f>
        <v>7.8696895972424317</v>
      </c>
      <c r="L167" s="15">
        <v>0.16700000000000001</v>
      </c>
      <c r="M167" s="15">
        <v>22.2</v>
      </c>
      <c r="N167" s="15">
        <v>100440</v>
      </c>
      <c r="P167" s="15">
        <v>1</v>
      </c>
      <c r="R167" t="s">
        <v>204</v>
      </c>
      <c r="S167" s="15" t="s">
        <v>205</v>
      </c>
      <c r="T167">
        <v>1</v>
      </c>
      <c r="U167">
        <v>0.6</v>
      </c>
      <c r="V167">
        <v>1</v>
      </c>
      <c r="W167">
        <v>0.2</v>
      </c>
      <c r="X167" s="15">
        <v>72</v>
      </c>
      <c r="BS167" s="31" t="s">
        <v>28</v>
      </c>
      <c r="BT167" s="29">
        <v>0.19</v>
      </c>
      <c r="BU167" s="29">
        <v>0.19400000000000001</v>
      </c>
    </row>
    <row r="168" spans="1:77" x14ac:dyDescent="0.25">
      <c r="A168" s="14"/>
      <c r="B168" s="24" t="s">
        <v>28</v>
      </c>
      <c r="C168" s="15" t="s">
        <v>202</v>
      </c>
      <c r="D168" s="15">
        <v>0</v>
      </c>
      <c r="E168" s="15" t="s">
        <v>217</v>
      </c>
      <c r="F168" s="21">
        <v>46100</v>
      </c>
      <c r="G168" s="22">
        <v>0.63402777777777797</v>
      </c>
      <c r="H168" s="23">
        <v>10.485719527403701</v>
      </c>
      <c r="I168" s="23">
        <f>(Tabelle1[[#This Row],[eingestellter 
Gasstrom]]*1.2693-2.457)*101325/Tabelle1[[#This Row],[Umgebungsdruck]]*(Tabelle1[[#This Row],[Umgebungstemperatur]]+273.15)/273.15</f>
        <v>11.837947933559757</v>
      </c>
      <c r="J168" s="35">
        <f>(Tabelle1[[#This Row],[Realer Gasstrom]] / 60) / ((PI() * (Tabelle1[[#This Row],[Kanalmaße]]/2)^2))</f>
        <v>0.25120905729206977</v>
      </c>
      <c r="K168" s="23">
        <f>Tabelle1[[#This Row],[Flüssigkeitsgeschwindigkeit]]*PI()*(0.001)^2/4*1000000*60</f>
        <v>11.780972450961723</v>
      </c>
      <c r="L168" s="29">
        <v>0.25</v>
      </c>
      <c r="M168" s="15">
        <v>22.2</v>
      </c>
      <c r="N168" s="15">
        <v>100440</v>
      </c>
      <c r="P168" s="15">
        <v>1</v>
      </c>
      <c r="R168" t="s">
        <v>204</v>
      </c>
      <c r="S168" s="15" t="s">
        <v>205</v>
      </c>
      <c r="T168">
        <v>1</v>
      </c>
      <c r="U168">
        <v>0.6</v>
      </c>
      <c r="V168">
        <v>1</v>
      </c>
      <c r="W168">
        <v>0.2</v>
      </c>
      <c r="X168" s="15">
        <v>72</v>
      </c>
      <c r="BS168" s="31" t="s">
        <v>28</v>
      </c>
      <c r="BT168" s="28">
        <v>0.19</v>
      </c>
      <c r="BU168" s="28">
        <v>0.25</v>
      </c>
    </row>
    <row r="169" spans="1:77" x14ac:dyDescent="0.25">
      <c r="B169" s="25" t="s">
        <v>201</v>
      </c>
      <c r="C169" s="36" t="s">
        <v>218</v>
      </c>
      <c r="D169" s="15">
        <v>0</v>
      </c>
      <c r="E169" s="36" t="s">
        <v>219</v>
      </c>
      <c r="F169" s="21">
        <v>46107</v>
      </c>
      <c r="G169" s="37">
        <v>0.43055555555555602</v>
      </c>
      <c r="H169" s="38">
        <f>(I169 *Tabelle1[[#This Row],[Umgebungsdruck]]/101325*273.15/(Tabelle1[[#This Row],[Umgebungstemperatur]]+273.15)+2.457)/1.2639</f>
        <v>4.3223252999591724</v>
      </c>
      <c r="I169" s="38">
        <f>Tabelle1[[#This Row],[Gasgeschwindigkeit]]*PI()*(0.001)^2/4*1000000*60</f>
        <v>3.2986722862692828</v>
      </c>
      <c r="J169" s="39">
        <v>7.0000000000000007E-2</v>
      </c>
      <c r="K169" s="38">
        <f>Tabelle1[[#This Row],[Flüssigkeitsgeschwindigkeit]]*PI()*(0.001)^2/4*1000000*60</f>
        <v>2.638937829015426</v>
      </c>
      <c r="L169" s="36">
        <v>5.6000000000000001E-2</v>
      </c>
      <c r="M169" s="15">
        <v>21.7</v>
      </c>
      <c r="N169" s="15">
        <v>99670</v>
      </c>
      <c r="O169" s="36">
        <v>0.7</v>
      </c>
      <c r="P169" s="36">
        <v>1</v>
      </c>
      <c r="Q169" s="36"/>
      <c r="R169" s="36" t="s">
        <v>204</v>
      </c>
      <c r="S169" s="36" t="s">
        <v>205</v>
      </c>
      <c r="T169" s="36">
        <v>1</v>
      </c>
      <c r="U169" s="36">
        <v>0.8</v>
      </c>
      <c r="V169" s="36">
        <v>1</v>
      </c>
      <c r="W169" s="40">
        <v>0.2</v>
      </c>
      <c r="X169" s="15">
        <v>72</v>
      </c>
      <c r="BS169" s="31" t="s">
        <v>28</v>
      </c>
      <c r="BT169" s="29">
        <v>0.19</v>
      </c>
      <c r="BU169" s="29">
        <v>0.4</v>
      </c>
    </row>
    <row r="170" spans="1:77" x14ac:dyDescent="0.25">
      <c r="B170" s="24" t="s">
        <v>28</v>
      </c>
      <c r="C170" s="15" t="s">
        <v>218</v>
      </c>
      <c r="D170" s="15">
        <v>0</v>
      </c>
      <c r="E170" s="15" t="s">
        <v>220</v>
      </c>
      <c r="F170" s="21">
        <v>46107</v>
      </c>
      <c r="G170" s="22">
        <v>0.43125000000000002</v>
      </c>
      <c r="H170" s="23">
        <f>(I170 *Tabelle1[[#This Row],[Umgebungsdruck]]/101325*273.15/(Tabelle1[[#This Row],[Umgebungstemperatur]]+273.15)+2.457)/1.2639</f>
        <v>4.3223252999591724</v>
      </c>
      <c r="I170" s="23">
        <f>Tabelle1[[#This Row],[Gasgeschwindigkeit]]*PI()*(0.001)^2/4*1000000*60</f>
        <v>3.2986722862692828</v>
      </c>
      <c r="J170" s="30">
        <v>7.0000000000000007E-2</v>
      </c>
      <c r="K170" s="23">
        <f>Tabelle1[[#This Row],[Flüssigkeitsgeschwindigkeit]]*PI()*(0.001)^2/4*1000000*60</f>
        <v>5.2307517682270053</v>
      </c>
      <c r="L170" s="15">
        <v>0.111</v>
      </c>
      <c r="M170" s="15">
        <v>21.7</v>
      </c>
      <c r="N170" s="15">
        <v>99670</v>
      </c>
      <c r="O170" s="15">
        <v>0.7</v>
      </c>
      <c r="P170" s="15">
        <v>1</v>
      </c>
      <c r="R170" t="s">
        <v>204</v>
      </c>
      <c r="S170" s="15" t="s">
        <v>205</v>
      </c>
      <c r="T170">
        <v>1</v>
      </c>
      <c r="U170">
        <v>0.8</v>
      </c>
      <c r="V170">
        <v>1</v>
      </c>
      <c r="W170" s="41">
        <v>0.2</v>
      </c>
      <c r="X170" s="15">
        <v>72</v>
      </c>
      <c r="BS170" s="33" t="s">
        <v>175</v>
      </c>
      <c r="BT170" s="28">
        <v>0.19</v>
      </c>
      <c r="BU170" s="28">
        <v>0.5</v>
      </c>
    </row>
    <row r="171" spans="1:77" x14ac:dyDescent="0.25">
      <c r="B171" s="25" t="s">
        <v>201</v>
      </c>
      <c r="C171" s="36" t="s">
        <v>218</v>
      </c>
      <c r="D171" s="15">
        <v>0</v>
      </c>
      <c r="E171" s="15" t="s">
        <v>221</v>
      </c>
      <c r="F171" s="21">
        <v>46107</v>
      </c>
      <c r="G171" s="22">
        <v>0.43541666666666701</v>
      </c>
      <c r="H171" s="23">
        <f>(I171 *Tabelle1[[#This Row],[Umgebungsdruck]]/101325*273.15/(Tabelle1[[#This Row],[Umgebungstemperatur]]+273.15)+2.457)/1.2639</f>
        <v>6.496809770742094</v>
      </c>
      <c r="I171" s="23">
        <f>Tabelle1[[#This Row],[Gasgeschwindigkeit]]*PI()*(0.001)^2/4*1000000*60</f>
        <v>6.314601233715484</v>
      </c>
      <c r="J171" s="30">
        <v>0.13400000000000001</v>
      </c>
      <c r="K171" s="23">
        <f>Tabelle1[[#This Row],[Flüssigkeitsgeschwindigkeit]]*PI()*(0.001)^2/4*1000000*60</f>
        <v>2.638937829015426</v>
      </c>
      <c r="L171" s="15">
        <v>5.6000000000000001E-2</v>
      </c>
      <c r="M171" s="15">
        <v>21.7</v>
      </c>
      <c r="N171" s="15">
        <v>99670</v>
      </c>
      <c r="O171" s="15">
        <v>0.8</v>
      </c>
      <c r="P171" s="15">
        <v>1</v>
      </c>
      <c r="R171" t="s">
        <v>204</v>
      </c>
      <c r="S171" s="15" t="s">
        <v>205</v>
      </c>
      <c r="T171">
        <v>1</v>
      </c>
      <c r="U171">
        <v>0.8</v>
      </c>
      <c r="V171">
        <v>1</v>
      </c>
      <c r="W171" s="41">
        <v>0.2</v>
      </c>
      <c r="X171" s="15">
        <v>72</v>
      </c>
      <c r="BS171" s="32" t="s">
        <v>31</v>
      </c>
      <c r="BT171" s="29">
        <v>0.03</v>
      </c>
      <c r="BU171" s="29">
        <v>0.02</v>
      </c>
    </row>
    <row r="172" spans="1:77" x14ac:dyDescent="0.25">
      <c r="B172" s="24" t="s">
        <v>28</v>
      </c>
      <c r="C172" s="15" t="s">
        <v>218</v>
      </c>
      <c r="D172" s="15">
        <v>0</v>
      </c>
      <c r="E172" s="15" t="s">
        <v>222</v>
      </c>
      <c r="F172" s="21">
        <v>46107</v>
      </c>
      <c r="G172" s="22">
        <v>0.43611111111111101</v>
      </c>
      <c r="H172" s="23">
        <f>(I172 *Tabelle1[[#This Row],[Umgebungsdruck]]/101325*273.15/(Tabelle1[[#This Row],[Umgebungstemperatur]]+273.15)+2.457)/1.2639</f>
        <v>6.496809770742094</v>
      </c>
      <c r="I172" s="23">
        <f>Tabelle1[[#This Row],[Gasgeschwindigkeit]]*PI()*(0.001)^2/4*1000000*60</f>
        <v>6.314601233715484</v>
      </c>
      <c r="J172" s="30">
        <v>0.13400000000000001</v>
      </c>
      <c r="K172" s="23">
        <f>Tabelle1[[#This Row],[Flüssigkeitsgeschwindigkeit]]*PI()*(0.001)^2/4*1000000*60</f>
        <v>5.2307517682270053</v>
      </c>
      <c r="L172" s="15">
        <v>0.111</v>
      </c>
      <c r="M172" s="15">
        <v>21.7</v>
      </c>
      <c r="N172" s="15">
        <v>99670</v>
      </c>
      <c r="O172" s="15">
        <v>0.8</v>
      </c>
      <c r="P172" s="15">
        <v>1</v>
      </c>
      <c r="R172" t="s">
        <v>204</v>
      </c>
      <c r="S172" s="15" t="s">
        <v>205</v>
      </c>
      <c r="T172">
        <v>1</v>
      </c>
      <c r="U172">
        <v>0.8</v>
      </c>
      <c r="V172">
        <v>1</v>
      </c>
      <c r="W172" s="41">
        <v>0.2</v>
      </c>
      <c r="X172" s="15">
        <v>72</v>
      </c>
      <c r="AS172" s="31" t="s">
        <v>28</v>
      </c>
      <c r="AT172" s="29">
        <v>7.0000000000000007E-2</v>
      </c>
      <c r="AU172" s="29">
        <v>0.02</v>
      </c>
      <c r="AW172" s="32" t="s">
        <v>31</v>
      </c>
      <c r="AX172" s="28">
        <v>0.03</v>
      </c>
      <c r="AY172" s="28">
        <v>5.6000000000000001E-2</v>
      </c>
      <c r="BS172" s="31" t="s">
        <v>28</v>
      </c>
      <c r="BT172" s="28">
        <v>0.03</v>
      </c>
      <c r="BU172" s="28">
        <v>5.6000000000000001E-2</v>
      </c>
    </row>
    <row r="173" spans="1:77" x14ac:dyDescent="0.25">
      <c r="B173" s="24" t="s">
        <v>28</v>
      </c>
      <c r="C173" s="36" t="s">
        <v>218</v>
      </c>
      <c r="D173" s="15">
        <v>0</v>
      </c>
      <c r="E173" s="15" t="s">
        <v>223</v>
      </c>
      <c r="F173" s="21">
        <v>46107</v>
      </c>
      <c r="G173" s="22">
        <v>0.436805555555556</v>
      </c>
      <c r="H173" s="23">
        <f>(I173 *Tabelle1[[#This Row],[Umgebungsdruck]]/101325*273.15/(Tabelle1[[#This Row],[Umgebungstemperatur]]+273.15)+2.457)/1.2639</f>
        <v>6.496809770742094</v>
      </c>
      <c r="I173" s="23">
        <f>Tabelle1[[#This Row],[Gasgeschwindigkeit]]*PI()*(0.001)^2/4*1000000*60</f>
        <v>6.314601233715484</v>
      </c>
      <c r="J173" s="30">
        <v>0.13400000000000001</v>
      </c>
      <c r="K173" s="23">
        <f>Tabelle1[[#This Row],[Flüssigkeitsgeschwindigkeit]]*PI()*(0.001)^2/4*1000000*60</f>
        <v>7.8696895972424317</v>
      </c>
      <c r="L173" s="15">
        <v>0.16700000000000001</v>
      </c>
      <c r="M173" s="15">
        <v>21.7</v>
      </c>
      <c r="N173" s="15">
        <v>99670</v>
      </c>
      <c r="O173" s="15">
        <v>0.8</v>
      </c>
      <c r="P173" s="15">
        <v>1</v>
      </c>
      <c r="R173" t="s">
        <v>204</v>
      </c>
      <c r="S173" s="15" t="s">
        <v>205</v>
      </c>
      <c r="T173">
        <v>1</v>
      </c>
      <c r="U173">
        <v>0.8</v>
      </c>
      <c r="V173">
        <v>1</v>
      </c>
      <c r="W173" s="41">
        <v>0.2</v>
      </c>
      <c r="X173" s="15">
        <v>72</v>
      </c>
      <c r="AS173" s="31" t="s">
        <v>28</v>
      </c>
      <c r="AT173" s="28">
        <v>7.0000000000000007E-2</v>
      </c>
      <c r="AU173" s="28">
        <v>5.6000000000000001E-2</v>
      </c>
      <c r="AW173" s="32" t="s">
        <v>31</v>
      </c>
      <c r="AX173" s="29">
        <v>0.15</v>
      </c>
      <c r="AY173" s="29">
        <v>0.02</v>
      </c>
      <c r="BS173" s="33" t="s">
        <v>38</v>
      </c>
      <c r="BT173" s="29">
        <v>0.03</v>
      </c>
      <c r="BU173" s="29">
        <v>0.111</v>
      </c>
    </row>
    <row r="174" spans="1:77" x14ac:dyDescent="0.25">
      <c r="B174" s="24" t="s">
        <v>28</v>
      </c>
      <c r="C174" s="15" t="s">
        <v>218</v>
      </c>
      <c r="D174" s="15">
        <v>0</v>
      </c>
      <c r="E174" s="15" t="s">
        <v>224</v>
      </c>
      <c r="F174" s="21">
        <v>46107</v>
      </c>
      <c r="G174" s="22">
        <v>0.43888888888888899</v>
      </c>
      <c r="H174" s="23">
        <f>(I174 *Tabelle1[[#This Row],[Umgebungsdruck]]/101325*273.15/(Tabelle1[[#This Row],[Umgebungstemperatur]]+273.15)+2.457)/1.2639</f>
        <v>6.496809770742094</v>
      </c>
      <c r="I174" s="23">
        <f>Tabelle1[[#This Row],[Gasgeschwindigkeit]]*PI()*(0.001)^2/4*1000000*60</f>
        <v>6.314601233715484</v>
      </c>
      <c r="J174" s="30">
        <v>0.13400000000000001</v>
      </c>
      <c r="K174" s="23">
        <f>Tabelle1[[#This Row],[Flüssigkeitsgeschwindigkeit]]*PI()*(0.001)^2/4*1000000*60</f>
        <v>11.780972450961723</v>
      </c>
      <c r="L174" s="15">
        <v>0.25</v>
      </c>
      <c r="M174" s="15">
        <v>21.7</v>
      </c>
      <c r="N174" s="15">
        <v>99670</v>
      </c>
      <c r="O174" s="15">
        <v>0.8</v>
      </c>
      <c r="P174" s="15">
        <v>1</v>
      </c>
      <c r="R174" t="s">
        <v>204</v>
      </c>
      <c r="S174" s="15" t="s">
        <v>205</v>
      </c>
      <c r="T174">
        <v>1</v>
      </c>
      <c r="U174">
        <v>0.8</v>
      </c>
      <c r="V174">
        <v>1</v>
      </c>
      <c r="W174" s="41">
        <v>0.2</v>
      </c>
      <c r="X174" s="15">
        <v>72</v>
      </c>
      <c r="AS174" s="31" t="s">
        <v>28</v>
      </c>
      <c r="AT174" s="28">
        <v>0.11</v>
      </c>
      <c r="AU174" s="28">
        <v>0.02</v>
      </c>
      <c r="AW174" s="32" t="s">
        <v>31</v>
      </c>
      <c r="AX174" s="28">
        <v>0.19</v>
      </c>
      <c r="AY174" s="28">
        <v>0.02</v>
      </c>
    </row>
    <row r="175" spans="1:77" x14ac:dyDescent="0.25">
      <c r="B175" s="24" t="s">
        <v>28</v>
      </c>
      <c r="C175" s="36" t="s">
        <v>218</v>
      </c>
      <c r="D175" s="15">
        <v>0</v>
      </c>
      <c r="E175" s="15" t="s">
        <v>225</v>
      </c>
      <c r="F175" s="21">
        <v>46107</v>
      </c>
      <c r="G175" s="22">
        <v>0.44305555555555598</v>
      </c>
      <c r="H175" s="23">
        <f>(I175 *Tabelle1[[#This Row],[Umgebungsdruck]]/101325*273.15/(Tabelle1[[#This Row],[Umgebungstemperatur]]+273.15)+2.457)/1.2639</f>
        <v>8.6824319362356199</v>
      </c>
      <c r="I175" s="23">
        <f>Tabelle1[[#This Row],[Gasgeschwindigkeit]]*PI()*(0.001)^2/4*1000000*60</f>
        <v>9.3459777487745423</v>
      </c>
      <c r="J175" s="30">
        <v>0.19832780756591101</v>
      </c>
      <c r="K175" s="23">
        <f>Tabelle1[[#This Row],[Flüssigkeitsgeschwindigkeit]]*PI()*(0.001)^2/4*1000000*60</f>
        <v>2.638937829015426</v>
      </c>
      <c r="L175" s="15">
        <v>5.6000000000000001E-2</v>
      </c>
      <c r="M175" s="15">
        <v>21.7</v>
      </c>
      <c r="N175" s="15">
        <v>99670</v>
      </c>
      <c r="O175" s="15">
        <v>0.6</v>
      </c>
      <c r="P175" s="15">
        <v>1</v>
      </c>
      <c r="R175" t="s">
        <v>204</v>
      </c>
      <c r="S175" s="15" t="s">
        <v>205</v>
      </c>
      <c r="T175">
        <v>1</v>
      </c>
      <c r="U175">
        <v>0.8</v>
      </c>
      <c r="V175">
        <v>1</v>
      </c>
      <c r="W175" s="41">
        <v>0.2</v>
      </c>
      <c r="X175" s="15">
        <v>72</v>
      </c>
      <c r="AS175" s="31" t="s">
        <v>28</v>
      </c>
      <c r="AT175" s="29">
        <v>0.11</v>
      </c>
      <c r="AU175" s="29">
        <v>5.6000000000000001E-2</v>
      </c>
    </row>
    <row r="176" spans="1:77" x14ac:dyDescent="0.25">
      <c r="B176" s="24" t="s">
        <v>28</v>
      </c>
      <c r="C176" s="15" t="s">
        <v>218</v>
      </c>
      <c r="D176" s="15">
        <v>0</v>
      </c>
      <c r="E176" s="15" t="s">
        <v>226</v>
      </c>
      <c r="F176" s="21">
        <v>46107</v>
      </c>
      <c r="G176" s="22">
        <v>0.44374999999999998</v>
      </c>
      <c r="H176" s="23">
        <f>(I176 *Tabelle1[[#This Row],[Umgebungsdruck]]/101325*273.15/(Tabelle1[[#This Row],[Umgebungstemperatur]]+273.15)+2.457)/1.2639</f>
        <v>8.6824319362356199</v>
      </c>
      <c r="I176" s="23">
        <f>Tabelle1[[#This Row],[Gasgeschwindigkeit]]*PI()*(0.001)^2/4*1000000*60</f>
        <v>9.3459777487745423</v>
      </c>
      <c r="J176" s="30">
        <v>0.19832780756591101</v>
      </c>
      <c r="K176" s="23">
        <f>Tabelle1[[#This Row],[Flüssigkeitsgeschwindigkeit]]*PI()*(0.001)^2/4*1000000*60</f>
        <v>5.2307517682270053</v>
      </c>
      <c r="L176" s="15">
        <v>0.111</v>
      </c>
      <c r="M176" s="15">
        <v>21.7</v>
      </c>
      <c r="N176" s="15">
        <v>99670</v>
      </c>
      <c r="O176" s="15">
        <v>0.6</v>
      </c>
      <c r="P176" s="15">
        <v>1</v>
      </c>
      <c r="R176" t="s">
        <v>204</v>
      </c>
      <c r="S176" s="15" t="s">
        <v>205</v>
      </c>
      <c r="T176">
        <v>1</v>
      </c>
      <c r="U176">
        <v>0.8</v>
      </c>
      <c r="V176">
        <v>1</v>
      </c>
      <c r="W176" s="41">
        <v>0.2</v>
      </c>
      <c r="X176" s="15">
        <v>72</v>
      </c>
      <c r="AS176" s="31" t="s">
        <v>28</v>
      </c>
      <c r="AT176" s="28">
        <v>0.11</v>
      </c>
      <c r="AU176" s="28">
        <v>0.111</v>
      </c>
      <c r="AW176" s="34" t="s">
        <v>23</v>
      </c>
      <c r="AX176" s="29">
        <v>7.0000000000000007E-2</v>
      </c>
      <c r="AY176" s="29">
        <v>0.111</v>
      </c>
    </row>
    <row r="177" spans="1:51" x14ac:dyDescent="0.25">
      <c r="B177" s="24" t="s">
        <v>28</v>
      </c>
      <c r="C177" s="36" t="s">
        <v>218</v>
      </c>
      <c r="D177" s="15">
        <v>0</v>
      </c>
      <c r="E177" s="15" t="s">
        <v>227</v>
      </c>
      <c r="F177" s="21">
        <v>46107</v>
      </c>
      <c r="G177" s="22">
        <v>0.44513888888888897</v>
      </c>
      <c r="H177" s="23">
        <f>(I177 *Tabelle1[[#This Row],[Umgebungsdruck]]/101325*273.15/(Tabelle1[[#This Row],[Umgebungstemperatur]]+273.15)+2.457)/1.2639</f>
        <v>8.6824319362356199</v>
      </c>
      <c r="I177" s="23">
        <f>Tabelle1[[#This Row],[Gasgeschwindigkeit]]*PI()*(0.001)^2/4*1000000*60</f>
        <v>9.3459777487745423</v>
      </c>
      <c r="J177" s="30">
        <v>0.19832780756591101</v>
      </c>
      <c r="K177" s="23">
        <f>Tabelle1[[#This Row],[Flüssigkeitsgeschwindigkeit]]*PI()*(0.001)^2/4*1000000*60</f>
        <v>7.8696895972424317</v>
      </c>
      <c r="L177" s="15">
        <v>0.16700000000000001</v>
      </c>
      <c r="M177" s="15">
        <v>21.7</v>
      </c>
      <c r="N177" s="15">
        <v>99670</v>
      </c>
      <c r="O177" s="15">
        <v>0.6</v>
      </c>
      <c r="P177" s="15">
        <v>1</v>
      </c>
      <c r="R177" t="s">
        <v>204</v>
      </c>
      <c r="S177" s="15" t="s">
        <v>205</v>
      </c>
      <c r="T177">
        <v>1</v>
      </c>
      <c r="U177">
        <v>0.8</v>
      </c>
      <c r="V177">
        <v>1</v>
      </c>
      <c r="W177" s="41">
        <v>0.2</v>
      </c>
      <c r="X177" s="15">
        <v>72</v>
      </c>
      <c r="AS177" s="31" t="s">
        <v>28</v>
      </c>
      <c r="AT177" s="29">
        <v>0.11</v>
      </c>
      <c r="AU177" s="29">
        <v>0.16700000000000001</v>
      </c>
      <c r="AW177" s="34" t="s">
        <v>23</v>
      </c>
      <c r="AX177" s="28">
        <v>0.11</v>
      </c>
      <c r="AY177" s="28">
        <v>0.19400000000000001</v>
      </c>
    </row>
    <row r="178" spans="1:51" x14ac:dyDescent="0.25">
      <c r="B178" s="24" t="s">
        <v>28</v>
      </c>
      <c r="C178" s="15" t="s">
        <v>218</v>
      </c>
      <c r="D178" s="15">
        <v>0</v>
      </c>
      <c r="E178" s="15" t="s">
        <v>228</v>
      </c>
      <c r="F178" s="21">
        <v>46107</v>
      </c>
      <c r="G178" s="22">
        <v>0.44583333333333303</v>
      </c>
      <c r="H178" s="23">
        <f>(I178 *Tabelle1[[#This Row],[Umgebungsdruck]]/101325*273.15/(Tabelle1[[#This Row],[Umgebungstemperatur]]+273.15)+2.457)/1.2639</f>
        <v>8.6824319362356199</v>
      </c>
      <c r="I178" s="23">
        <f>Tabelle1[[#This Row],[Gasgeschwindigkeit]]*PI()*(0.001)^2/4*1000000*60</f>
        <v>9.3459777487745423</v>
      </c>
      <c r="J178" s="30">
        <v>0.19832780756591101</v>
      </c>
      <c r="K178" s="23">
        <f>Tabelle1[[#This Row],[Flüssigkeitsgeschwindigkeit]]*PI()*(0.001)^2/4*1000000*60</f>
        <v>11.780972450961723</v>
      </c>
      <c r="L178" s="15">
        <v>0.25</v>
      </c>
      <c r="M178" s="15">
        <v>21.7</v>
      </c>
      <c r="N178" s="15">
        <v>99670</v>
      </c>
      <c r="O178" s="15">
        <v>0.6</v>
      </c>
      <c r="P178" s="15">
        <v>1</v>
      </c>
      <c r="R178" t="s">
        <v>204</v>
      </c>
      <c r="S178" s="15" t="s">
        <v>205</v>
      </c>
      <c r="T178">
        <v>1</v>
      </c>
      <c r="U178">
        <v>0.8</v>
      </c>
      <c r="V178">
        <v>1</v>
      </c>
      <c r="W178" s="41">
        <v>0.2</v>
      </c>
      <c r="X178" s="15">
        <v>72</v>
      </c>
      <c r="AS178" s="31" t="s">
        <v>28</v>
      </c>
      <c r="AT178" s="28">
        <v>0.15</v>
      </c>
      <c r="AU178" s="28">
        <v>5.6000000000000001E-2</v>
      </c>
    </row>
    <row r="179" spans="1:51" x14ac:dyDescent="0.25">
      <c r="B179" s="24" t="s">
        <v>28</v>
      </c>
      <c r="C179" s="36" t="s">
        <v>218</v>
      </c>
      <c r="D179" s="15">
        <v>0</v>
      </c>
      <c r="E179" s="15" t="s">
        <v>229</v>
      </c>
      <c r="F179" s="21">
        <v>46107</v>
      </c>
      <c r="G179" s="22">
        <v>0.44930555555555601</v>
      </c>
      <c r="H179" s="23">
        <f>(I179 *Tabelle1[[#This Row],[Umgebungsdruck]]/101325*273.15/(Tabelle1[[#This Row],[Umgebungstemperatur]]+273.15)+2.457)/1.2639</f>
        <v>10.886118333435366</v>
      </c>
      <c r="I179" s="23">
        <f>Tabelle1[[#This Row],[Gasgeschwindigkeit]]*PI()*(0.001)^2/4*1000000*60</f>
        <v>12.402408680201335</v>
      </c>
      <c r="J179" s="30">
        <v>0.26318728635998301</v>
      </c>
      <c r="K179" s="23">
        <f>Tabelle1[[#This Row],[Flüssigkeitsgeschwindigkeit]]*PI()*(0.001)^2/4*1000000*60</f>
        <v>2.638937829015426</v>
      </c>
      <c r="L179" s="15">
        <v>5.6000000000000001E-2</v>
      </c>
      <c r="M179" s="15">
        <v>21.7</v>
      </c>
      <c r="N179" s="15">
        <v>99670</v>
      </c>
      <c r="O179" s="15">
        <v>0.6</v>
      </c>
      <c r="P179" s="15">
        <v>1</v>
      </c>
      <c r="R179" t="s">
        <v>204</v>
      </c>
      <c r="S179" s="15" t="s">
        <v>205</v>
      </c>
      <c r="T179">
        <v>1</v>
      </c>
      <c r="U179">
        <v>0.8</v>
      </c>
      <c r="V179">
        <v>1</v>
      </c>
      <c r="W179" s="41">
        <v>0.2</v>
      </c>
      <c r="X179" s="15">
        <v>72</v>
      </c>
      <c r="AS179" s="31" t="s">
        <v>28</v>
      </c>
      <c r="AT179" s="29">
        <v>0.15</v>
      </c>
      <c r="AU179" s="29">
        <v>0.111</v>
      </c>
    </row>
    <row r="180" spans="1:51" x14ac:dyDescent="0.25">
      <c r="B180" s="24" t="s">
        <v>28</v>
      </c>
      <c r="C180" s="15" t="s">
        <v>218</v>
      </c>
      <c r="D180" s="15">
        <v>0</v>
      </c>
      <c r="E180" s="15" t="s">
        <v>230</v>
      </c>
      <c r="F180" s="21">
        <v>46107</v>
      </c>
      <c r="G180" s="22">
        <v>0.45069444444444401</v>
      </c>
      <c r="H180" s="23">
        <f>(I180 *Tabelle1[[#This Row],[Umgebungsdruck]]/101325*273.15/(Tabelle1[[#This Row],[Umgebungstemperatur]]+273.15)+2.457)/1.2639</f>
        <v>10.886118333435366</v>
      </c>
      <c r="I180" s="23">
        <f>Tabelle1[[#This Row],[Gasgeschwindigkeit]]*PI()*(0.001)^2/4*1000000*60</f>
        <v>12.402408680201335</v>
      </c>
      <c r="J180" s="30">
        <v>0.26318728635998301</v>
      </c>
      <c r="K180" s="23">
        <f>Tabelle1[[#This Row],[Flüssigkeitsgeschwindigkeit]]*PI()*(0.001)^2/4*1000000*60</f>
        <v>5.2307517682270053</v>
      </c>
      <c r="L180" s="15">
        <v>0.111</v>
      </c>
      <c r="M180" s="15">
        <v>21.7</v>
      </c>
      <c r="N180" s="15">
        <v>99670</v>
      </c>
      <c r="O180" s="15">
        <v>0.6</v>
      </c>
      <c r="P180" s="15">
        <v>1</v>
      </c>
      <c r="R180" t="s">
        <v>204</v>
      </c>
      <c r="S180" s="15" t="s">
        <v>205</v>
      </c>
      <c r="T180">
        <v>1</v>
      </c>
      <c r="U180">
        <v>0.8</v>
      </c>
      <c r="V180">
        <v>1</v>
      </c>
      <c r="W180" s="41">
        <v>0.2</v>
      </c>
      <c r="X180" s="15">
        <v>72</v>
      </c>
      <c r="AS180" s="31" t="s">
        <v>28</v>
      </c>
      <c r="AT180" s="28">
        <v>0.15</v>
      </c>
      <c r="AU180" s="28">
        <v>0.16700000000000001</v>
      </c>
    </row>
    <row r="181" spans="1:51" x14ac:dyDescent="0.25">
      <c r="B181" s="24" t="s">
        <v>28</v>
      </c>
      <c r="C181" s="36" t="s">
        <v>218</v>
      </c>
      <c r="D181" s="15">
        <v>0</v>
      </c>
      <c r="E181" s="15" t="s">
        <v>231</v>
      </c>
      <c r="F181" s="21">
        <v>46107</v>
      </c>
      <c r="G181" s="22">
        <v>0.45138888888888901</v>
      </c>
      <c r="H181" s="23">
        <f>(I181 *Tabelle1[[#This Row],[Umgebungsdruck]]/101325*273.15/(Tabelle1[[#This Row],[Umgebungstemperatur]]+273.15)+2.457)/1.2639</f>
        <v>10.886118333435366</v>
      </c>
      <c r="I181" s="23">
        <f>Tabelle1[[#This Row],[Gasgeschwindigkeit]]*PI()*(0.001)^2/4*1000000*60</f>
        <v>12.402408680201335</v>
      </c>
      <c r="J181" s="30">
        <v>0.26318728635998301</v>
      </c>
      <c r="K181" s="23">
        <f>Tabelle1[[#This Row],[Flüssigkeitsgeschwindigkeit]]*PI()*(0.001)^2/4*1000000*60</f>
        <v>7.8696895972424317</v>
      </c>
      <c r="L181" s="15">
        <v>0.16700000000000001</v>
      </c>
      <c r="M181" s="15">
        <v>21.7</v>
      </c>
      <c r="N181" s="15">
        <v>99670</v>
      </c>
      <c r="O181" s="15">
        <v>0.6</v>
      </c>
      <c r="P181" s="15">
        <v>1</v>
      </c>
      <c r="R181" t="s">
        <v>204</v>
      </c>
      <c r="S181" s="15" t="s">
        <v>205</v>
      </c>
      <c r="T181">
        <v>1</v>
      </c>
      <c r="U181">
        <v>0.8</v>
      </c>
      <c r="V181">
        <v>1</v>
      </c>
      <c r="W181" s="41">
        <v>0.2</v>
      </c>
      <c r="X181" s="15">
        <v>72</v>
      </c>
      <c r="AS181" s="31" t="s">
        <v>28</v>
      </c>
      <c r="AT181" s="29">
        <v>0.15</v>
      </c>
      <c r="AU181" s="29">
        <v>0.19400000000000001</v>
      </c>
    </row>
    <row r="182" spans="1:51" x14ac:dyDescent="0.25">
      <c r="B182" s="24" t="s">
        <v>28</v>
      </c>
      <c r="C182" s="15" t="s">
        <v>218</v>
      </c>
      <c r="D182" s="15">
        <v>0</v>
      </c>
      <c r="E182" s="42" t="s">
        <v>232</v>
      </c>
      <c r="F182" s="21">
        <v>46107</v>
      </c>
      <c r="G182" s="43">
        <v>0.452083333333333</v>
      </c>
      <c r="H182" s="44">
        <f>(I182 *Tabelle1[[#This Row],[Umgebungsdruck]]/101325*273.15/(Tabelle1[[#This Row],[Umgebungstemperatur]]+273.15)+2.457)/1.2639</f>
        <v>10.886118333435366</v>
      </c>
      <c r="I182" s="44">
        <f>Tabelle1[[#This Row],[Gasgeschwindigkeit]]*PI()*(0.001)^2/4*1000000*60</f>
        <v>12.402408680201335</v>
      </c>
      <c r="J182" s="45">
        <v>0.26318728635998301</v>
      </c>
      <c r="K182" s="44">
        <f>Tabelle1[[#This Row],[Flüssigkeitsgeschwindigkeit]]*PI()*(0.001)^2/4*1000000*60</f>
        <v>11.780972450961723</v>
      </c>
      <c r="L182" s="42">
        <v>0.25</v>
      </c>
      <c r="M182" s="15">
        <v>21.7</v>
      </c>
      <c r="N182" s="15">
        <v>99670</v>
      </c>
      <c r="O182" s="15">
        <v>0.6</v>
      </c>
      <c r="P182" s="42">
        <v>1</v>
      </c>
      <c r="Q182" s="42"/>
      <c r="R182" s="42" t="s">
        <v>204</v>
      </c>
      <c r="S182" s="42" t="s">
        <v>205</v>
      </c>
      <c r="T182" s="42">
        <v>1</v>
      </c>
      <c r="U182" s="42">
        <v>0.8</v>
      </c>
      <c r="V182" s="42">
        <v>1</v>
      </c>
      <c r="W182" s="46">
        <v>0.2</v>
      </c>
      <c r="X182" s="15">
        <v>72</v>
      </c>
      <c r="AS182" s="31"/>
      <c r="AT182" s="29"/>
      <c r="AU182" s="29"/>
    </row>
    <row r="183" spans="1:51" x14ac:dyDescent="0.25">
      <c r="A183" s="14" t="s">
        <v>233</v>
      </c>
      <c r="B183" s="25" t="s">
        <v>201</v>
      </c>
      <c r="C183" s="15" t="s">
        <v>234</v>
      </c>
      <c r="D183" s="15">
        <v>152.5</v>
      </c>
      <c r="E183" s="15" t="s">
        <v>235</v>
      </c>
      <c r="F183" s="21">
        <v>46100</v>
      </c>
      <c r="G183" s="22">
        <v>0.68888888888888899</v>
      </c>
      <c r="H183" s="23">
        <v>3.8665473547640699</v>
      </c>
      <c r="I183" s="23">
        <f>(Tabelle1[[#This Row],[eingestellter 
Gasstrom]]*1.2693-2.457)*101325/Tabelle1[[#This Row],[Umgebungsdruck]]*(Tabelle1[[#This Row],[Umgebungstemperatur]]+273.15)/273.15</f>
        <v>2.671003206403622</v>
      </c>
      <c r="J183" s="35">
        <f>(Tabelle1[[#This Row],[Realer Gasstrom]] / 60) / ((PI() * (Tabelle1[[#This Row],[Kanalmaße]]/2)^2))</f>
        <v>5.6680448441791792E-2</v>
      </c>
      <c r="K183" s="23">
        <f>Tabelle1[[#This Row],[Flüssigkeitsgeschwindigkeit]]*PI()*(0.001)^2/4*1000000*60</f>
        <v>2.638937829015426</v>
      </c>
      <c r="L183" s="15">
        <v>5.6000000000000001E-2</v>
      </c>
      <c r="M183" s="15">
        <v>22</v>
      </c>
      <c r="N183" s="15">
        <v>100460</v>
      </c>
      <c r="P183" s="15">
        <v>2</v>
      </c>
      <c r="R183" t="s">
        <v>204</v>
      </c>
      <c r="S183" s="15" t="s">
        <v>205</v>
      </c>
      <c r="T183">
        <v>1</v>
      </c>
      <c r="U183">
        <v>0.6</v>
      </c>
      <c r="V183">
        <v>1</v>
      </c>
      <c r="W183">
        <v>0.2</v>
      </c>
      <c r="X183" s="15">
        <v>72</v>
      </c>
      <c r="AS183" s="31"/>
      <c r="AT183" s="29"/>
      <c r="AU183" s="29"/>
    </row>
    <row r="184" spans="1:51" x14ac:dyDescent="0.25">
      <c r="A184" s="14"/>
      <c r="B184" s="24" t="s">
        <v>28</v>
      </c>
      <c r="C184" s="15" t="s">
        <v>234</v>
      </c>
      <c r="D184" s="15">
        <v>152.5</v>
      </c>
      <c r="E184" s="15" t="s">
        <v>236</v>
      </c>
      <c r="F184" s="21">
        <v>46100</v>
      </c>
      <c r="G184" s="22">
        <v>0.68958333333333299</v>
      </c>
      <c r="H184" s="23">
        <v>3.8665473547640699</v>
      </c>
      <c r="I184" s="23">
        <f>(Tabelle1[[#This Row],[eingestellter 
Gasstrom]]*1.2693-2.457)*101325/Tabelle1[[#This Row],[Umgebungsdruck]]*(Tabelle1[[#This Row],[Umgebungstemperatur]]+273.15)/273.15</f>
        <v>2.671003206403622</v>
      </c>
      <c r="J184" s="35">
        <f>(Tabelle1[[#This Row],[Realer Gasstrom]] / 60) / ((PI() * (Tabelle1[[#This Row],[Kanalmaße]]/2)^2))</f>
        <v>5.6680448441791792E-2</v>
      </c>
      <c r="K184" s="23">
        <f>Tabelle1[[#This Row],[Flüssigkeitsgeschwindigkeit]]*PI()*(0.001)^2/4*1000000*60</f>
        <v>5.2307517682270053</v>
      </c>
      <c r="L184" s="15">
        <v>0.111</v>
      </c>
      <c r="M184" s="15">
        <v>22</v>
      </c>
      <c r="N184" s="15">
        <v>100460</v>
      </c>
      <c r="P184" s="15">
        <v>2</v>
      </c>
      <c r="R184" t="s">
        <v>204</v>
      </c>
      <c r="S184" s="15" t="s">
        <v>205</v>
      </c>
      <c r="T184">
        <v>1</v>
      </c>
      <c r="U184">
        <v>0.6</v>
      </c>
      <c r="V184">
        <v>1</v>
      </c>
      <c r="W184">
        <v>0.2</v>
      </c>
      <c r="X184" s="15">
        <v>72</v>
      </c>
      <c r="AS184" s="31" t="s">
        <v>28</v>
      </c>
      <c r="AT184" s="29">
        <v>0.19</v>
      </c>
      <c r="AU184" s="29">
        <v>5.6000000000000001E-2</v>
      </c>
    </row>
    <row r="185" spans="1:51" x14ac:dyDescent="0.25">
      <c r="A185" s="14"/>
      <c r="B185" s="25" t="s">
        <v>201</v>
      </c>
      <c r="C185" s="15" t="s">
        <v>234</v>
      </c>
      <c r="D185" s="15">
        <v>152.5</v>
      </c>
      <c r="E185" s="15" t="s">
        <v>237</v>
      </c>
      <c r="F185" s="21">
        <v>46100</v>
      </c>
      <c r="G185" s="22">
        <v>0.7</v>
      </c>
      <c r="H185" s="23">
        <v>6.0760029860578202</v>
      </c>
      <c r="I185" s="23">
        <f>(Tabelle1[[#This Row],[eingestellter 
Gasstrom]]*1.2693-2.457)*101325/Tabelle1[[#This Row],[Umgebungsdruck]]*(Tabelle1[[#This Row],[Umgebungstemperatur]]+273.15)/273.15</f>
        <v>5.7274341378304365</v>
      </c>
      <c r="J185" s="35">
        <f>(Tabelle1[[#This Row],[Realer Gasstrom]] / 60) / ((PI() * (Tabelle1[[#This Row],[Kanalmaße]]/2)^2))</f>
        <v>0.12153992723586424</v>
      </c>
      <c r="K185" s="23">
        <f>Tabelle1[[#This Row],[Flüssigkeitsgeschwindigkeit]]*PI()*(0.001)^2/4*1000000*60</f>
        <v>2.638937829015426</v>
      </c>
      <c r="L185" s="15">
        <v>5.6000000000000001E-2</v>
      </c>
      <c r="M185" s="15">
        <v>22</v>
      </c>
      <c r="N185" s="15">
        <v>100460</v>
      </c>
      <c r="P185" s="15">
        <v>2</v>
      </c>
      <c r="R185" t="s">
        <v>204</v>
      </c>
      <c r="S185" s="15" t="s">
        <v>205</v>
      </c>
      <c r="T185">
        <v>1</v>
      </c>
      <c r="U185">
        <v>0.6</v>
      </c>
      <c r="V185">
        <v>1</v>
      </c>
      <c r="W185">
        <v>0.2</v>
      </c>
      <c r="X185" s="15">
        <v>72</v>
      </c>
      <c r="AS185" s="31" t="s">
        <v>28</v>
      </c>
      <c r="AT185" s="28">
        <v>0.19</v>
      </c>
      <c r="AU185" s="28">
        <v>0.111</v>
      </c>
    </row>
    <row r="186" spans="1:51" x14ac:dyDescent="0.25">
      <c r="A186" s="14"/>
      <c r="B186" s="24" t="s">
        <v>28</v>
      </c>
      <c r="C186" s="15" t="s">
        <v>234</v>
      </c>
      <c r="D186" s="15">
        <v>152.5</v>
      </c>
      <c r="E186" s="15" t="s">
        <v>238</v>
      </c>
      <c r="F186" s="21">
        <v>46100</v>
      </c>
      <c r="G186" s="22">
        <v>0.69861111111111096</v>
      </c>
      <c r="H186" s="23">
        <v>6.0760029860578202</v>
      </c>
      <c r="I186" s="23">
        <f>(Tabelle1[[#This Row],[eingestellter 
Gasstrom]]*1.2693-2.457)*101325/Tabelle1[[#This Row],[Umgebungsdruck]]*(Tabelle1[[#This Row],[Umgebungstemperatur]]+273.15)/273.15</f>
        <v>5.7274341378304365</v>
      </c>
      <c r="J186" s="35">
        <f>(Tabelle1[[#This Row],[Realer Gasstrom]] / 60) / ((PI() * (Tabelle1[[#This Row],[Kanalmaße]]/2)^2))</f>
        <v>0.12153992723586424</v>
      </c>
      <c r="K186" s="23">
        <f>Tabelle1[[#This Row],[Flüssigkeitsgeschwindigkeit]]*PI()*(0.001)^2/4*1000000*60</f>
        <v>5.2307517682270053</v>
      </c>
      <c r="L186" s="15">
        <v>0.111</v>
      </c>
      <c r="M186" s="15">
        <v>22</v>
      </c>
      <c r="N186" s="15">
        <v>100460</v>
      </c>
      <c r="P186" s="15">
        <v>2</v>
      </c>
      <c r="R186" t="s">
        <v>204</v>
      </c>
      <c r="S186" s="15" t="s">
        <v>205</v>
      </c>
      <c r="T186">
        <v>1</v>
      </c>
      <c r="U186">
        <v>0.6</v>
      </c>
      <c r="V186">
        <v>1</v>
      </c>
      <c r="W186">
        <v>0.2</v>
      </c>
      <c r="X186" s="15">
        <v>72</v>
      </c>
      <c r="AS186" s="31" t="s">
        <v>28</v>
      </c>
      <c r="AT186" s="29">
        <v>0.19</v>
      </c>
      <c r="AU186" s="29">
        <v>0.16700000000000001</v>
      </c>
    </row>
    <row r="187" spans="1:51" x14ac:dyDescent="0.25">
      <c r="A187" s="14"/>
      <c r="B187" s="20" t="s">
        <v>23</v>
      </c>
      <c r="C187" s="15" t="s">
        <v>234</v>
      </c>
      <c r="D187" s="15">
        <v>152.5</v>
      </c>
      <c r="E187" s="15" t="s">
        <v>239</v>
      </c>
      <c r="F187" s="21">
        <v>46100</v>
      </c>
      <c r="G187" s="22">
        <v>0.70138888888888895</v>
      </c>
      <c r="H187" s="23">
        <v>6.0760029860578202</v>
      </c>
      <c r="I187" s="23">
        <f>(Tabelle1[[#This Row],[eingestellter 
Gasstrom]]*1.2693-2.457)*101325/Tabelle1[[#This Row],[Umgebungsdruck]]*(Tabelle1[[#This Row],[Umgebungstemperatur]]+273.15)/273.15</f>
        <v>5.7274341378304365</v>
      </c>
      <c r="J187" s="35">
        <f>(Tabelle1[[#This Row],[Realer Gasstrom]] / 60) / ((PI() * (Tabelle1[[#This Row],[Kanalmaße]]/2)^2))</f>
        <v>0.12153992723586424</v>
      </c>
      <c r="K187" s="23">
        <f>Tabelle1[[#This Row],[Flüssigkeitsgeschwindigkeit]]*PI()*(0.001)^2/4*1000000*60</f>
        <v>7.8696895972424317</v>
      </c>
      <c r="L187" s="15">
        <v>0.16700000000000001</v>
      </c>
      <c r="M187" s="15">
        <v>22</v>
      </c>
      <c r="N187" s="15">
        <v>100460</v>
      </c>
      <c r="P187" s="15">
        <v>2</v>
      </c>
      <c r="R187" t="s">
        <v>204</v>
      </c>
      <c r="S187" s="15" t="s">
        <v>205</v>
      </c>
      <c r="T187">
        <v>1</v>
      </c>
      <c r="U187">
        <v>0.6</v>
      </c>
      <c r="V187">
        <v>1</v>
      </c>
      <c r="W187">
        <v>0.2</v>
      </c>
      <c r="X187" s="15">
        <v>72</v>
      </c>
      <c r="AS187" s="31" t="s">
        <v>28</v>
      </c>
      <c r="AT187" s="28">
        <v>0.19</v>
      </c>
      <c r="AU187" s="28">
        <v>0.19400000000000001</v>
      </c>
    </row>
    <row r="188" spans="1:51" x14ac:dyDescent="0.25">
      <c r="A188" s="14"/>
      <c r="B188" s="24" t="s">
        <v>28</v>
      </c>
      <c r="C188" s="15" t="s">
        <v>234</v>
      </c>
      <c r="D188" s="15">
        <v>152.5</v>
      </c>
      <c r="E188" s="15" t="s">
        <v>240</v>
      </c>
      <c r="F188" s="21">
        <v>46100</v>
      </c>
      <c r="G188" s="22">
        <v>0.70416666666666705</v>
      </c>
      <c r="H188" s="23">
        <v>8.2854586173515798</v>
      </c>
      <c r="I188" s="23">
        <f>(Tabelle1[[#This Row],[eingestellter 
Gasstrom]]*1.2693-2.457)*101325/Tabelle1[[#This Row],[Umgebungsdruck]]*(Tabelle1[[#This Row],[Umgebungstemperatur]]+273.15)/273.15</f>
        <v>8.7838650692572688</v>
      </c>
      <c r="J188" s="35">
        <f>(Tabelle1[[#This Row],[Realer Gasstrom]] / 60) / ((PI() * (Tabelle1[[#This Row],[Kanalmaße]]/2)^2))</f>
        <v>0.18639940602993707</v>
      </c>
      <c r="K188" s="23">
        <f>Tabelle1[[#This Row],[Flüssigkeitsgeschwindigkeit]]*PI()*(0.001)^2/4*1000000*60</f>
        <v>2.638937829015426</v>
      </c>
      <c r="L188" s="15">
        <v>5.6000000000000001E-2</v>
      </c>
      <c r="M188" s="15">
        <v>22</v>
      </c>
      <c r="N188" s="15">
        <v>100460</v>
      </c>
      <c r="P188" s="15">
        <v>2</v>
      </c>
      <c r="R188" t="s">
        <v>204</v>
      </c>
      <c r="S188" s="15" t="s">
        <v>205</v>
      </c>
      <c r="T188">
        <v>1</v>
      </c>
      <c r="U188">
        <v>0.6</v>
      </c>
      <c r="V188">
        <v>1</v>
      </c>
      <c r="W188">
        <v>0.2</v>
      </c>
      <c r="X188" s="15">
        <v>72</v>
      </c>
      <c r="AS188" s="31" t="s">
        <v>28</v>
      </c>
      <c r="AT188" s="29">
        <v>0.19</v>
      </c>
      <c r="AU188" s="29">
        <v>0.25</v>
      </c>
    </row>
    <row r="189" spans="1:51" x14ac:dyDescent="0.25">
      <c r="A189" s="14"/>
      <c r="B189" s="24" t="s">
        <v>28</v>
      </c>
      <c r="C189" s="15" t="s">
        <v>234</v>
      </c>
      <c r="D189" s="15">
        <v>152.5</v>
      </c>
      <c r="E189" s="15" t="s">
        <v>241</v>
      </c>
      <c r="F189" s="21">
        <v>46100</v>
      </c>
      <c r="G189" s="22">
        <v>0.70555555555555605</v>
      </c>
      <c r="H189" s="23">
        <v>8.2854586173515798</v>
      </c>
      <c r="I189" s="23">
        <f>(Tabelle1[[#This Row],[eingestellter 
Gasstrom]]*1.2693-2.457)*101325/Tabelle1[[#This Row],[Umgebungsdruck]]*(Tabelle1[[#This Row],[Umgebungstemperatur]]+273.15)/273.15</f>
        <v>8.7838650692572688</v>
      </c>
      <c r="J189" s="35">
        <f>(Tabelle1[[#This Row],[Realer Gasstrom]] / 60) / ((PI() * (Tabelle1[[#This Row],[Kanalmaße]]/2)^2))</f>
        <v>0.18639940602993707</v>
      </c>
      <c r="K189" s="23">
        <f>Tabelle1[[#This Row],[Flüssigkeitsgeschwindigkeit]]*PI()*(0.001)^2/4*1000000*60</f>
        <v>5.2307517682270053</v>
      </c>
      <c r="L189" s="15">
        <v>0.111</v>
      </c>
      <c r="M189" s="15">
        <v>22</v>
      </c>
      <c r="N189" s="15">
        <v>100460</v>
      </c>
      <c r="P189" s="15">
        <v>2</v>
      </c>
      <c r="R189" t="s">
        <v>204</v>
      </c>
      <c r="S189" s="15" t="s">
        <v>205</v>
      </c>
      <c r="T189">
        <v>1</v>
      </c>
      <c r="U189">
        <v>0.6</v>
      </c>
      <c r="V189">
        <v>1</v>
      </c>
      <c r="W189">
        <v>0.2</v>
      </c>
      <c r="X189" s="15">
        <v>72</v>
      </c>
      <c r="AS189" s="31"/>
      <c r="AT189" s="29"/>
      <c r="AU189" s="29"/>
    </row>
    <row r="190" spans="1:51" x14ac:dyDescent="0.25">
      <c r="A190" s="14"/>
      <c r="B190" s="24" t="s">
        <v>28</v>
      </c>
      <c r="C190" s="15" t="s">
        <v>234</v>
      </c>
      <c r="D190" s="15">
        <v>152.5</v>
      </c>
      <c r="E190" s="15" t="s">
        <v>242</v>
      </c>
      <c r="F190" s="21">
        <v>46100</v>
      </c>
      <c r="G190" s="22">
        <v>0.70625000000000004</v>
      </c>
      <c r="H190" s="23">
        <v>8.2854586173515798</v>
      </c>
      <c r="I190" s="23">
        <f>(Tabelle1[[#This Row],[eingestellter 
Gasstrom]]*1.2693-2.457)*101325/Tabelle1[[#This Row],[Umgebungsdruck]]*(Tabelle1[[#This Row],[Umgebungstemperatur]]+273.15)/273.15</f>
        <v>8.7838650692572688</v>
      </c>
      <c r="J190" s="35">
        <f>(Tabelle1[[#This Row],[Realer Gasstrom]] / 60) / ((PI() * (Tabelle1[[#This Row],[Kanalmaße]]/2)^2))</f>
        <v>0.18639940602993707</v>
      </c>
      <c r="K190" s="23">
        <f>Tabelle1[[#This Row],[Flüssigkeitsgeschwindigkeit]]*PI()*(0.001)^2/4*1000000*60</f>
        <v>7.8696895972424317</v>
      </c>
      <c r="L190" s="15">
        <v>0.16700000000000001</v>
      </c>
      <c r="M190" s="15">
        <v>22</v>
      </c>
      <c r="N190" s="15">
        <v>100460</v>
      </c>
      <c r="P190" s="15">
        <v>2</v>
      </c>
      <c r="R190" t="s">
        <v>204</v>
      </c>
      <c r="S190" s="15" t="s">
        <v>205</v>
      </c>
      <c r="T190">
        <v>1</v>
      </c>
      <c r="U190">
        <v>0.6</v>
      </c>
      <c r="V190">
        <v>1</v>
      </c>
      <c r="W190">
        <v>0.2</v>
      </c>
      <c r="X190" s="15">
        <v>72</v>
      </c>
      <c r="AS190" s="31" t="s">
        <v>28</v>
      </c>
      <c r="AT190" s="28">
        <v>0.19</v>
      </c>
      <c r="AU190" s="28">
        <v>0.4</v>
      </c>
    </row>
    <row r="191" spans="1:51" x14ac:dyDescent="0.25">
      <c r="A191" s="14"/>
      <c r="B191" s="24" t="s">
        <v>28</v>
      </c>
      <c r="C191" s="15" t="s">
        <v>234</v>
      </c>
      <c r="D191" s="15">
        <v>152.5</v>
      </c>
      <c r="E191" s="15" t="s">
        <v>243</v>
      </c>
      <c r="F191" s="21">
        <v>46100</v>
      </c>
      <c r="G191" s="22">
        <v>0.70694444444444404</v>
      </c>
      <c r="H191" s="23">
        <v>8.2854586173515798</v>
      </c>
      <c r="I191" s="23">
        <f>(Tabelle1[[#This Row],[eingestellter 
Gasstrom]]*1.2693-2.457)*101325/Tabelle1[[#This Row],[Umgebungsdruck]]*(Tabelle1[[#This Row],[Umgebungstemperatur]]+273.15)/273.15</f>
        <v>8.7838650692572688</v>
      </c>
      <c r="J191" s="35">
        <f>(Tabelle1[[#This Row],[Realer Gasstrom]] / 60) / ((PI() * (Tabelle1[[#This Row],[Kanalmaße]]/2)^2))</f>
        <v>0.18639940602993707</v>
      </c>
      <c r="K191" s="23">
        <f>Tabelle1[[#This Row],[Flüssigkeitsgeschwindigkeit]]*PI()*(0.001)^2/4*1000000*60</f>
        <v>11.780972450961723</v>
      </c>
      <c r="L191" s="15">
        <v>0.25</v>
      </c>
      <c r="M191" s="15">
        <v>22</v>
      </c>
      <c r="N191" s="15">
        <v>100460</v>
      </c>
      <c r="P191" s="15">
        <v>2</v>
      </c>
      <c r="R191" t="s">
        <v>204</v>
      </c>
      <c r="S191" s="15" t="s">
        <v>205</v>
      </c>
      <c r="T191">
        <v>1</v>
      </c>
      <c r="U191">
        <v>0.6</v>
      </c>
      <c r="V191">
        <v>1</v>
      </c>
      <c r="W191">
        <v>0.2</v>
      </c>
      <c r="X191" s="15">
        <v>72</v>
      </c>
    </row>
    <row r="192" spans="1:51" x14ac:dyDescent="0.25">
      <c r="A192" s="14"/>
      <c r="B192" s="24" t="s">
        <v>28</v>
      </c>
      <c r="C192" s="15" t="s">
        <v>234</v>
      </c>
      <c r="D192" s="15">
        <v>152.5</v>
      </c>
      <c r="E192" s="15" t="s">
        <v>244</v>
      </c>
      <c r="F192" s="21">
        <v>46100</v>
      </c>
      <c r="G192" s="22">
        <v>0.70972222222222203</v>
      </c>
      <c r="H192" s="23">
        <v>10.4949142486453</v>
      </c>
      <c r="I192" s="23">
        <f>(Tabelle1[[#This Row],[eingestellter 
Gasstrom]]*1.2693-2.457)*101325/Tabelle1[[#This Row],[Umgebungsdruck]]*(Tabelle1[[#This Row],[Umgebungstemperatur]]+273.15)/273.15</f>
        <v>11.840296000684042</v>
      </c>
      <c r="J192" s="35">
        <f>(Tabelle1[[#This Row],[Realer Gasstrom]] / 60) / ((PI() * (Tabelle1[[#This Row],[Kanalmaße]]/2)^2))</f>
        <v>0.2512588848240086</v>
      </c>
      <c r="K192" s="23">
        <f>Tabelle1[[#This Row],[Flüssigkeitsgeschwindigkeit]]*PI()*(0.001)^2/4*1000000*60</f>
        <v>2.638937829015426</v>
      </c>
      <c r="L192" s="15">
        <v>5.6000000000000001E-2</v>
      </c>
      <c r="M192" s="15">
        <v>22</v>
      </c>
      <c r="N192" s="15">
        <v>100460</v>
      </c>
      <c r="O192" s="15">
        <v>0.9</v>
      </c>
      <c r="P192" s="15">
        <v>2</v>
      </c>
      <c r="R192" t="s">
        <v>204</v>
      </c>
      <c r="S192" s="15" t="s">
        <v>205</v>
      </c>
      <c r="T192">
        <v>1</v>
      </c>
      <c r="U192">
        <v>0.6</v>
      </c>
      <c r="V192">
        <v>1</v>
      </c>
      <c r="W192">
        <v>0.2</v>
      </c>
      <c r="X192" s="15">
        <v>72</v>
      </c>
    </row>
    <row r="193" spans="1:24" x14ac:dyDescent="0.25">
      <c r="A193" s="14"/>
      <c r="B193" s="24" t="s">
        <v>28</v>
      </c>
      <c r="C193" s="15" t="s">
        <v>234</v>
      </c>
      <c r="D193" s="15">
        <v>152.5</v>
      </c>
      <c r="E193" s="15" t="s">
        <v>245</v>
      </c>
      <c r="F193" s="21">
        <v>46100</v>
      </c>
      <c r="G193" s="22">
        <v>0.71041666666666703</v>
      </c>
      <c r="H193" s="23">
        <v>10.4949142486453</v>
      </c>
      <c r="I193" s="23">
        <f>(Tabelle1[[#This Row],[eingestellter 
Gasstrom]]*1.2693-2.457)*101325/Tabelle1[[#This Row],[Umgebungsdruck]]*(Tabelle1[[#This Row],[Umgebungstemperatur]]+273.15)/273.15</f>
        <v>11.840296000684042</v>
      </c>
      <c r="J193" s="35">
        <f>(Tabelle1[[#This Row],[Realer Gasstrom]] / 60) / ((PI() * (Tabelle1[[#This Row],[Kanalmaße]]/2)^2))</f>
        <v>0.2512588848240086</v>
      </c>
      <c r="K193" s="23">
        <f>Tabelle1[[#This Row],[Flüssigkeitsgeschwindigkeit]]*PI()*(0.001)^2/4*1000000*60</f>
        <v>5.2307517682270053</v>
      </c>
      <c r="L193" s="15">
        <v>0.111</v>
      </c>
      <c r="M193" s="15">
        <v>22</v>
      </c>
      <c r="N193" s="15">
        <v>100460</v>
      </c>
      <c r="O193" s="15">
        <v>0.9</v>
      </c>
      <c r="P193" s="15">
        <v>2</v>
      </c>
      <c r="R193" t="s">
        <v>204</v>
      </c>
      <c r="S193" s="15" t="s">
        <v>205</v>
      </c>
      <c r="T193">
        <v>1</v>
      </c>
      <c r="U193">
        <v>0.6</v>
      </c>
      <c r="V193">
        <v>1</v>
      </c>
      <c r="W193">
        <v>0.2</v>
      </c>
      <c r="X193" s="15">
        <v>72</v>
      </c>
    </row>
    <row r="194" spans="1:24" x14ac:dyDescent="0.25">
      <c r="A194" s="14"/>
      <c r="B194" s="24" t="s">
        <v>28</v>
      </c>
      <c r="C194" s="15" t="s">
        <v>234</v>
      </c>
      <c r="D194" s="15">
        <v>152.5</v>
      </c>
      <c r="E194" s="15" t="s">
        <v>246</v>
      </c>
      <c r="F194" s="21">
        <v>46100</v>
      </c>
      <c r="G194" s="22">
        <v>0.71250000000000002</v>
      </c>
      <c r="H194" s="23">
        <v>10.4949142486453</v>
      </c>
      <c r="I194" s="23">
        <f>(Tabelle1[[#This Row],[eingestellter 
Gasstrom]]*1.2693-2.457)*101325/Tabelle1[[#This Row],[Umgebungsdruck]]*(Tabelle1[[#This Row],[Umgebungstemperatur]]+273.15)/273.15</f>
        <v>11.840296000684042</v>
      </c>
      <c r="J194" s="35">
        <f>(Tabelle1[[#This Row],[Realer Gasstrom]] / 60) / ((PI() * (Tabelle1[[#This Row],[Kanalmaße]]/2)^2))</f>
        <v>0.2512588848240086</v>
      </c>
      <c r="K194" s="23">
        <f>Tabelle1[[#This Row],[Flüssigkeitsgeschwindigkeit]]*PI()*(0.001)^2/4*1000000*60</f>
        <v>7.8696895972424317</v>
      </c>
      <c r="L194" s="15">
        <v>0.16700000000000001</v>
      </c>
      <c r="M194" s="15">
        <v>22</v>
      </c>
      <c r="N194" s="15">
        <v>100460</v>
      </c>
      <c r="O194" s="15">
        <v>0.9</v>
      </c>
      <c r="P194" s="15">
        <v>2</v>
      </c>
      <c r="R194" t="s">
        <v>204</v>
      </c>
      <c r="S194" s="15" t="s">
        <v>205</v>
      </c>
      <c r="T194">
        <v>1</v>
      </c>
      <c r="U194">
        <v>0.6</v>
      </c>
      <c r="V194">
        <v>1</v>
      </c>
      <c r="W194">
        <v>0.2</v>
      </c>
      <c r="X194" s="15">
        <v>72</v>
      </c>
    </row>
    <row r="195" spans="1:24" x14ac:dyDescent="0.25">
      <c r="A195" s="14"/>
      <c r="B195" s="24" t="s">
        <v>28</v>
      </c>
      <c r="C195" s="15" t="s">
        <v>234</v>
      </c>
      <c r="D195" s="15">
        <v>152.5</v>
      </c>
      <c r="E195" s="15" t="s">
        <v>247</v>
      </c>
      <c r="F195" s="21">
        <v>46100</v>
      </c>
      <c r="G195" s="22">
        <v>0.71388888888888902</v>
      </c>
      <c r="H195" s="23">
        <v>10.4949142486453</v>
      </c>
      <c r="I195" s="23">
        <f>(Tabelle1[[#This Row],[eingestellter 
Gasstrom]]*1.2693-2.457)*101325/Tabelle1[[#This Row],[Umgebungsdruck]]*(Tabelle1[[#This Row],[Umgebungstemperatur]]+273.15)/273.15</f>
        <v>11.840296000684042</v>
      </c>
      <c r="J195" s="35">
        <f>(Tabelle1[[#This Row],[Realer Gasstrom]] / 60) / ((PI() * (Tabelle1[[#This Row],[Kanalmaße]]/2)^2))</f>
        <v>0.2512588848240086</v>
      </c>
      <c r="K195" s="23">
        <f>Tabelle1[[#This Row],[Flüssigkeitsgeschwindigkeit]]*PI()*(0.001)^2/4*1000000*60</f>
        <v>11.780972450961723</v>
      </c>
      <c r="L195" s="15">
        <v>0.25</v>
      </c>
      <c r="M195" s="15">
        <v>22</v>
      </c>
      <c r="N195" s="15">
        <v>100460</v>
      </c>
      <c r="O195" s="15">
        <v>0.9</v>
      </c>
      <c r="P195" s="15">
        <v>2</v>
      </c>
      <c r="R195" t="s">
        <v>204</v>
      </c>
      <c r="S195" s="15" t="s">
        <v>205</v>
      </c>
      <c r="T195">
        <v>1</v>
      </c>
      <c r="U195">
        <v>0.6</v>
      </c>
      <c r="V195">
        <v>1</v>
      </c>
      <c r="W195">
        <v>0.2</v>
      </c>
      <c r="X195" s="15">
        <v>72</v>
      </c>
    </row>
    <row r="196" spans="1:24" x14ac:dyDescent="0.25">
      <c r="B196" s="25" t="s">
        <v>201</v>
      </c>
      <c r="C196" s="36" t="s">
        <v>248</v>
      </c>
      <c r="D196" s="47">
        <v>154</v>
      </c>
      <c r="E196" s="15" t="s">
        <v>249</v>
      </c>
      <c r="F196" s="21">
        <v>46107</v>
      </c>
      <c r="G196" s="22">
        <v>0.65416666666666701</v>
      </c>
      <c r="H196" s="23">
        <f>(I196 *Tabelle1[[#This Row],[Umgebungsdruck]]/101325*273.15/(Tabelle1[[#This Row],[Umgebungstemperatur]]+273.15)+2.457)/1.2639</f>
        <v>4.3206811654058912</v>
      </c>
      <c r="I196" s="23">
        <f>Tabelle1[[#This Row],[Gasgeschwindigkeit]]*PI()*(0.001)^2/4*1000000*60</f>
        <v>3.2986722862692828</v>
      </c>
      <c r="J196" s="30">
        <v>7.0000000000000007E-2</v>
      </c>
      <c r="K196" s="23">
        <f>Tabelle1[[#This Row],[Flüssigkeitsgeschwindigkeit]]*PI()*(0.001)^2/4*1000000*60</f>
        <v>2.638937829015426</v>
      </c>
      <c r="L196" s="15">
        <v>5.6000000000000001E-2</v>
      </c>
      <c r="M196" s="15">
        <v>22.2</v>
      </c>
      <c r="N196" s="15">
        <v>99770</v>
      </c>
      <c r="O196" s="15">
        <v>0.9</v>
      </c>
      <c r="P196" s="15">
        <v>2</v>
      </c>
      <c r="R196" t="s">
        <v>204</v>
      </c>
      <c r="S196" s="15" t="s">
        <v>205</v>
      </c>
      <c r="T196">
        <v>1</v>
      </c>
      <c r="U196">
        <v>0.8</v>
      </c>
      <c r="V196">
        <v>1</v>
      </c>
      <c r="W196">
        <v>0.2</v>
      </c>
      <c r="X196" s="15">
        <v>72</v>
      </c>
    </row>
    <row r="197" spans="1:24" x14ac:dyDescent="0.25">
      <c r="B197" s="24" t="s">
        <v>28</v>
      </c>
      <c r="C197" s="36" t="s">
        <v>248</v>
      </c>
      <c r="D197" s="47">
        <v>154</v>
      </c>
      <c r="E197" s="15" t="s">
        <v>250</v>
      </c>
      <c r="F197" s="21">
        <v>46107</v>
      </c>
      <c r="G197" s="22">
        <v>0.65972222222222199</v>
      </c>
      <c r="H197" s="23">
        <f>(I197 *Tabelle1[[#This Row],[Umgebungsdruck]]/101325*273.15/(Tabelle1[[#This Row],[Umgebungstemperatur]]+273.15)+2.457)/1.2639</f>
        <v>4.3206811654058912</v>
      </c>
      <c r="I197" s="23">
        <f>Tabelle1[[#This Row],[Gasgeschwindigkeit]]*PI()*(0.001)^2/4*1000000*60</f>
        <v>3.2986722862692828</v>
      </c>
      <c r="J197" s="30">
        <v>7.0000000000000007E-2</v>
      </c>
      <c r="K197" s="23">
        <f>Tabelle1[[#This Row],[Flüssigkeitsgeschwindigkeit]]*PI()*(0.001)^2/4*1000000*60</f>
        <v>5.2307517682270053</v>
      </c>
      <c r="L197" s="15">
        <v>0.111</v>
      </c>
      <c r="M197" s="15">
        <v>22.2</v>
      </c>
      <c r="N197" s="15">
        <v>99770</v>
      </c>
      <c r="O197" s="15">
        <v>0.9</v>
      </c>
      <c r="P197" s="15">
        <v>2</v>
      </c>
      <c r="R197" t="s">
        <v>204</v>
      </c>
      <c r="S197" s="15" t="s">
        <v>205</v>
      </c>
      <c r="T197">
        <v>1</v>
      </c>
      <c r="U197">
        <v>0.8</v>
      </c>
      <c r="V197">
        <v>1</v>
      </c>
      <c r="W197">
        <v>0.2</v>
      </c>
      <c r="X197" s="15">
        <v>72</v>
      </c>
    </row>
    <row r="198" spans="1:24" x14ac:dyDescent="0.25">
      <c r="B198" s="25" t="s">
        <v>251</v>
      </c>
      <c r="C198" s="36" t="s">
        <v>248</v>
      </c>
      <c r="D198" s="47">
        <v>154</v>
      </c>
      <c r="E198" s="15" t="s">
        <v>252</v>
      </c>
      <c r="F198" s="21">
        <v>46107</v>
      </c>
      <c r="G198" s="22">
        <v>0.65069444444444502</v>
      </c>
      <c r="H198" s="23">
        <f>(I198 *Tabelle1[[#This Row],[Umgebungsdruck]]/101325*273.15/(Tabelle1[[#This Row],[Umgebungstemperatur]]+273.15)+2.457)/1.2639</f>
        <v>6.4936624274543853</v>
      </c>
      <c r="I198" s="23">
        <f>Tabelle1[[#This Row],[Gasgeschwindigkeit]]*PI()*(0.001)^2/4*1000000*60</f>
        <v>6.314601233715484</v>
      </c>
      <c r="J198" s="30">
        <v>0.13400000000000001</v>
      </c>
      <c r="K198" s="23">
        <f>Tabelle1[[#This Row],[Flüssigkeitsgeschwindigkeit]]*PI()*(0.001)^2/4*1000000*60</f>
        <v>2.638937829015426</v>
      </c>
      <c r="L198" s="15">
        <v>5.6000000000000001E-2</v>
      </c>
      <c r="M198" s="15">
        <v>22.2</v>
      </c>
      <c r="N198" s="15">
        <v>99770</v>
      </c>
      <c r="O198" s="15">
        <v>1</v>
      </c>
      <c r="P198" s="15">
        <v>2</v>
      </c>
      <c r="R198" t="s">
        <v>204</v>
      </c>
      <c r="S198" s="15" t="s">
        <v>205</v>
      </c>
      <c r="T198">
        <v>1</v>
      </c>
      <c r="U198">
        <v>0.8</v>
      </c>
      <c r="V198">
        <v>1</v>
      </c>
      <c r="W198">
        <v>0.2</v>
      </c>
      <c r="X198" s="15">
        <v>72</v>
      </c>
    </row>
    <row r="199" spans="1:24" x14ac:dyDescent="0.25">
      <c r="B199" s="24" t="s">
        <v>28</v>
      </c>
      <c r="C199" s="36" t="s">
        <v>248</v>
      </c>
      <c r="D199" s="47">
        <v>154</v>
      </c>
      <c r="E199" s="15" t="s">
        <v>253</v>
      </c>
      <c r="F199" s="21">
        <v>46107</v>
      </c>
      <c r="G199" s="22">
        <v>0.65138888888888902</v>
      </c>
      <c r="H199" s="23">
        <f>(I199 *Tabelle1[[#This Row],[Umgebungsdruck]]/101325*273.15/(Tabelle1[[#This Row],[Umgebungstemperatur]]+273.15)+2.457)/1.2639</f>
        <v>6.4936624274543853</v>
      </c>
      <c r="I199" s="23">
        <f>Tabelle1[[#This Row],[Gasgeschwindigkeit]]*PI()*(0.001)^2/4*1000000*60</f>
        <v>6.314601233715484</v>
      </c>
      <c r="J199" s="30">
        <v>0.13400000000000001</v>
      </c>
      <c r="K199" s="23">
        <f>Tabelle1[[#This Row],[Flüssigkeitsgeschwindigkeit]]*PI()*(0.001)^2/4*1000000*60</f>
        <v>5.2307517682270053</v>
      </c>
      <c r="L199" s="15">
        <v>0.111</v>
      </c>
      <c r="M199" s="15">
        <v>22.2</v>
      </c>
      <c r="N199" s="15">
        <v>99770</v>
      </c>
      <c r="O199" s="15">
        <v>1</v>
      </c>
      <c r="P199" s="15">
        <v>2</v>
      </c>
      <c r="R199" t="s">
        <v>204</v>
      </c>
      <c r="S199" s="15" t="s">
        <v>205</v>
      </c>
      <c r="T199">
        <v>1</v>
      </c>
      <c r="U199">
        <v>0.8</v>
      </c>
      <c r="V199">
        <v>1</v>
      </c>
      <c r="W199">
        <v>0.2</v>
      </c>
      <c r="X199" s="15">
        <v>72</v>
      </c>
    </row>
    <row r="200" spans="1:24" x14ac:dyDescent="0.25">
      <c r="B200" s="24" t="s">
        <v>28</v>
      </c>
      <c r="C200" s="36" t="s">
        <v>248</v>
      </c>
      <c r="D200" s="47">
        <v>154</v>
      </c>
      <c r="E200" s="15" t="s">
        <v>254</v>
      </c>
      <c r="F200" s="21">
        <v>46107</v>
      </c>
      <c r="G200" s="22">
        <v>0.65208333333333302</v>
      </c>
      <c r="H200" s="23">
        <f>(I200 *Tabelle1[[#This Row],[Umgebungsdruck]]/101325*273.15/(Tabelle1[[#This Row],[Umgebungstemperatur]]+273.15)+2.457)/1.2639</f>
        <v>6.4936624274543853</v>
      </c>
      <c r="I200" s="23">
        <f>Tabelle1[[#This Row],[Gasgeschwindigkeit]]*PI()*(0.001)^2/4*1000000*60</f>
        <v>6.314601233715484</v>
      </c>
      <c r="J200" s="30">
        <v>0.13400000000000001</v>
      </c>
      <c r="K200" s="23">
        <f>Tabelle1[[#This Row],[Flüssigkeitsgeschwindigkeit]]*PI()*(0.001)^2/4*1000000*60</f>
        <v>7.8696895972424317</v>
      </c>
      <c r="L200" s="15">
        <v>0.16700000000000001</v>
      </c>
      <c r="M200" s="15">
        <v>22.2</v>
      </c>
      <c r="N200" s="15">
        <v>99770</v>
      </c>
      <c r="O200" s="15">
        <v>1</v>
      </c>
      <c r="P200" s="15">
        <v>2</v>
      </c>
      <c r="R200" t="s">
        <v>204</v>
      </c>
      <c r="S200" s="15" t="s">
        <v>205</v>
      </c>
      <c r="T200">
        <v>1</v>
      </c>
      <c r="U200">
        <v>0.8</v>
      </c>
      <c r="V200">
        <v>1</v>
      </c>
      <c r="W200">
        <v>0.2</v>
      </c>
      <c r="X200" s="15">
        <v>72</v>
      </c>
    </row>
    <row r="201" spans="1:24" x14ac:dyDescent="0.25">
      <c r="B201" s="24" t="s">
        <v>28</v>
      </c>
      <c r="C201" s="36" t="s">
        <v>248</v>
      </c>
      <c r="D201" s="47">
        <v>154</v>
      </c>
      <c r="E201" s="15" t="s">
        <v>255</v>
      </c>
      <c r="F201" s="21">
        <v>46107</v>
      </c>
      <c r="G201" s="22">
        <v>0.65277777777777801</v>
      </c>
      <c r="H201" s="23">
        <f>(I201 *Tabelle1[[#This Row],[Umgebungsdruck]]/101325*273.15/(Tabelle1[[#This Row],[Umgebungstemperatur]]+273.15)+2.457)/1.2639</f>
        <v>6.4936624274543853</v>
      </c>
      <c r="I201" s="23">
        <f>Tabelle1[[#This Row],[Gasgeschwindigkeit]]*PI()*(0.001)^2/4*1000000*60</f>
        <v>6.314601233715484</v>
      </c>
      <c r="J201" s="30">
        <v>0.13400000000000001</v>
      </c>
      <c r="K201" s="23">
        <f>Tabelle1[[#This Row],[Flüssigkeitsgeschwindigkeit]]*PI()*(0.001)^2/4*1000000*60</f>
        <v>11.780972450961723</v>
      </c>
      <c r="L201" s="15">
        <v>0.25</v>
      </c>
      <c r="M201" s="15">
        <v>22.2</v>
      </c>
      <c r="N201" s="15">
        <v>99770</v>
      </c>
      <c r="O201" s="15">
        <v>1</v>
      </c>
      <c r="P201" s="15">
        <v>2</v>
      </c>
      <c r="R201" t="s">
        <v>204</v>
      </c>
      <c r="S201" s="15" t="s">
        <v>205</v>
      </c>
      <c r="T201">
        <v>1</v>
      </c>
      <c r="U201">
        <v>0.8</v>
      </c>
      <c r="V201">
        <v>1</v>
      </c>
      <c r="W201">
        <v>0.2</v>
      </c>
      <c r="X201" s="15">
        <v>72</v>
      </c>
    </row>
    <row r="202" spans="1:24" x14ac:dyDescent="0.25">
      <c r="B202" s="24" t="s">
        <v>28</v>
      </c>
      <c r="C202" s="36" t="s">
        <v>248</v>
      </c>
      <c r="D202" s="47">
        <v>154</v>
      </c>
      <c r="E202" s="15" t="s">
        <v>256</v>
      </c>
      <c r="F202" s="21">
        <v>46107</v>
      </c>
      <c r="G202" s="22">
        <v>0.66458333333333297</v>
      </c>
      <c r="H202" s="23">
        <f>(I202 *Tabelle1[[#This Row],[Umgebungsdruck]]/101325*273.15/(Tabelle1[[#This Row],[Umgebungstemperatur]]+273.15)+2.457)/1.2639</f>
        <v>8.6777736847885407</v>
      </c>
      <c r="I202" s="23">
        <f>Tabelle1[[#This Row],[Gasgeschwindigkeit]]*PI()*(0.001)^2/4*1000000*60</f>
        <v>9.3459777487745423</v>
      </c>
      <c r="J202" s="30">
        <v>0.19832780756591101</v>
      </c>
      <c r="K202" s="23">
        <f>Tabelle1[[#This Row],[Flüssigkeitsgeschwindigkeit]]*PI()*(0.001)^2/4*1000000*60</f>
        <v>2.638937829015426</v>
      </c>
      <c r="L202" s="15">
        <v>5.6000000000000001E-2</v>
      </c>
      <c r="M202" s="15">
        <v>22.2</v>
      </c>
      <c r="N202" s="15">
        <v>99770</v>
      </c>
      <c r="O202" s="15">
        <v>0.9</v>
      </c>
      <c r="P202" s="15">
        <v>2</v>
      </c>
      <c r="R202" t="s">
        <v>204</v>
      </c>
      <c r="S202" s="15" t="s">
        <v>205</v>
      </c>
      <c r="T202">
        <v>1</v>
      </c>
      <c r="U202">
        <v>0.8</v>
      </c>
      <c r="V202">
        <v>1</v>
      </c>
      <c r="W202">
        <v>0.2</v>
      </c>
      <c r="X202" s="15">
        <v>72</v>
      </c>
    </row>
    <row r="203" spans="1:24" x14ac:dyDescent="0.25">
      <c r="B203" s="24" t="s">
        <v>28</v>
      </c>
      <c r="C203" s="36" t="s">
        <v>248</v>
      </c>
      <c r="D203" s="47">
        <v>154</v>
      </c>
      <c r="E203" s="15" t="s">
        <v>257</v>
      </c>
      <c r="F203" s="21">
        <v>46107</v>
      </c>
      <c r="G203" s="22">
        <v>0.66597222222222197</v>
      </c>
      <c r="H203" s="23">
        <f>(I203 *Tabelle1[[#This Row],[Umgebungsdruck]]/101325*273.15/(Tabelle1[[#This Row],[Umgebungstemperatur]]+273.15)+2.457)/1.2639</f>
        <v>8.6777736847885407</v>
      </c>
      <c r="I203" s="23">
        <f>Tabelle1[[#This Row],[Gasgeschwindigkeit]]*PI()*(0.001)^2/4*1000000*60</f>
        <v>9.3459777487745423</v>
      </c>
      <c r="J203" s="30">
        <v>0.19832780756591101</v>
      </c>
      <c r="K203" s="23">
        <f>Tabelle1[[#This Row],[Flüssigkeitsgeschwindigkeit]]*PI()*(0.001)^2/4*1000000*60</f>
        <v>5.2307517682270053</v>
      </c>
      <c r="L203" s="15">
        <v>0.111</v>
      </c>
      <c r="M203" s="15">
        <v>22.2</v>
      </c>
      <c r="N203" s="15">
        <v>99770</v>
      </c>
      <c r="O203" s="15">
        <v>0.9</v>
      </c>
      <c r="P203" s="15">
        <v>2</v>
      </c>
      <c r="R203" t="s">
        <v>204</v>
      </c>
      <c r="S203" s="15" t="s">
        <v>205</v>
      </c>
      <c r="T203">
        <v>1</v>
      </c>
      <c r="U203">
        <v>0.8</v>
      </c>
      <c r="V203">
        <v>1</v>
      </c>
      <c r="W203">
        <v>0.2</v>
      </c>
      <c r="X203" s="15">
        <v>72</v>
      </c>
    </row>
    <row r="204" spans="1:24" x14ac:dyDescent="0.25">
      <c r="B204" s="24" t="s">
        <v>28</v>
      </c>
      <c r="C204" s="36" t="s">
        <v>248</v>
      </c>
      <c r="D204" s="47">
        <v>154</v>
      </c>
      <c r="E204" s="15" t="s">
        <v>258</v>
      </c>
      <c r="F204" s="21">
        <v>46107</v>
      </c>
      <c r="G204" s="22">
        <v>0.66666666666666696</v>
      </c>
      <c r="H204" s="23">
        <f>(I204 *Tabelle1[[#This Row],[Umgebungsdruck]]/101325*273.15/(Tabelle1[[#This Row],[Umgebungstemperatur]]+273.15)+2.457)/1.2639</f>
        <v>8.6777736847885407</v>
      </c>
      <c r="I204" s="23">
        <f>Tabelle1[[#This Row],[Gasgeschwindigkeit]]*PI()*(0.001)^2/4*1000000*60</f>
        <v>9.3459777487745423</v>
      </c>
      <c r="J204" s="30">
        <v>0.19832780756591101</v>
      </c>
      <c r="K204" s="23">
        <f>Tabelle1[[#This Row],[Flüssigkeitsgeschwindigkeit]]*PI()*(0.001)^2/4*1000000*60</f>
        <v>7.8696895972424317</v>
      </c>
      <c r="L204" s="15">
        <v>0.16700000000000001</v>
      </c>
      <c r="M204" s="15">
        <v>22.2</v>
      </c>
      <c r="N204" s="15">
        <v>99770</v>
      </c>
      <c r="O204" s="15">
        <v>0.9</v>
      </c>
      <c r="P204" s="15">
        <v>2</v>
      </c>
      <c r="R204" t="s">
        <v>204</v>
      </c>
      <c r="S204" s="15" t="s">
        <v>205</v>
      </c>
      <c r="T204">
        <v>1</v>
      </c>
      <c r="U204">
        <v>0.8</v>
      </c>
      <c r="V204">
        <v>1</v>
      </c>
      <c r="W204">
        <v>0.2</v>
      </c>
      <c r="X204" s="15">
        <v>72</v>
      </c>
    </row>
    <row r="205" spans="1:24" x14ac:dyDescent="0.25">
      <c r="B205" s="24" t="s">
        <v>28</v>
      </c>
      <c r="C205" s="36" t="s">
        <v>248</v>
      </c>
      <c r="D205" s="47">
        <v>154</v>
      </c>
      <c r="E205" s="15" t="s">
        <v>259</v>
      </c>
      <c r="F205" s="21">
        <v>46107</v>
      </c>
      <c r="G205" s="22">
        <v>0.66736111111111096</v>
      </c>
      <c r="H205" s="23">
        <f>(I205 *Tabelle1[[#This Row],[Umgebungsdruck]]/101325*273.15/(Tabelle1[[#This Row],[Umgebungstemperatur]]+273.15)+2.457)/1.2639</f>
        <v>8.6777736847885407</v>
      </c>
      <c r="I205" s="23">
        <f>Tabelle1[[#This Row],[Gasgeschwindigkeit]]*PI()*(0.001)^2/4*1000000*60</f>
        <v>9.3459777487745423</v>
      </c>
      <c r="J205" s="30">
        <v>0.19832780756591101</v>
      </c>
      <c r="K205" s="23">
        <f>Tabelle1[[#This Row],[Flüssigkeitsgeschwindigkeit]]*PI()*(0.001)^2/4*1000000*60</f>
        <v>11.780972450961723</v>
      </c>
      <c r="L205" s="15">
        <v>0.25</v>
      </c>
      <c r="M205" s="15">
        <v>22.2</v>
      </c>
      <c r="N205" s="15">
        <v>99770</v>
      </c>
      <c r="O205" s="15">
        <v>0.9</v>
      </c>
      <c r="P205" s="15">
        <v>2</v>
      </c>
      <c r="R205" t="s">
        <v>204</v>
      </c>
      <c r="S205" s="15" t="s">
        <v>205</v>
      </c>
      <c r="T205">
        <v>1</v>
      </c>
      <c r="U205">
        <v>0.8</v>
      </c>
      <c r="V205">
        <v>1</v>
      </c>
      <c r="W205">
        <v>0.2</v>
      </c>
      <c r="X205" s="15">
        <v>72</v>
      </c>
    </row>
    <row r="206" spans="1:24" x14ac:dyDescent="0.25">
      <c r="B206" s="24" t="s">
        <v>28</v>
      </c>
      <c r="C206" s="36" t="s">
        <v>248</v>
      </c>
      <c r="D206" s="47">
        <v>154</v>
      </c>
      <c r="E206" s="15" t="s">
        <v>260</v>
      </c>
      <c r="F206" s="21">
        <v>46107</v>
      </c>
      <c r="G206" s="22">
        <v>0.66874999999999996</v>
      </c>
      <c r="H206" s="23">
        <f>(I206 *Tabelle1[[#This Row],[Umgebungsdruck]]/101325*273.15/(Tabelle1[[#This Row],[Umgebungstemperatur]]+273.15)+2.457)/1.2639</f>
        <v>10.879936686128385</v>
      </c>
      <c r="I206" s="23">
        <f>Tabelle1[[#This Row],[Gasgeschwindigkeit]]*PI()*(0.001)^2/4*1000000*60</f>
        <v>12.402408680201335</v>
      </c>
      <c r="J206" s="30">
        <v>0.26318728635998301</v>
      </c>
      <c r="K206" s="23">
        <f>Tabelle1[[#This Row],[Flüssigkeitsgeschwindigkeit]]*PI()*(0.001)^2/4*1000000*60</f>
        <v>2.638937829015426</v>
      </c>
      <c r="L206" s="15">
        <v>5.6000000000000001E-2</v>
      </c>
      <c r="M206" s="15">
        <v>22.2</v>
      </c>
      <c r="N206" s="15">
        <v>99770</v>
      </c>
      <c r="O206" s="15">
        <v>0.9</v>
      </c>
      <c r="P206" s="15">
        <v>2</v>
      </c>
      <c r="R206" t="s">
        <v>204</v>
      </c>
      <c r="S206" s="15" t="s">
        <v>205</v>
      </c>
      <c r="T206">
        <v>1</v>
      </c>
      <c r="U206">
        <v>0.8</v>
      </c>
      <c r="V206">
        <v>1</v>
      </c>
      <c r="W206">
        <v>0.2</v>
      </c>
      <c r="X206" s="15">
        <v>72</v>
      </c>
    </row>
    <row r="207" spans="1:24" x14ac:dyDescent="0.25">
      <c r="B207" s="24" t="s">
        <v>28</v>
      </c>
      <c r="C207" s="36" t="s">
        <v>248</v>
      </c>
      <c r="D207" s="47">
        <v>154</v>
      </c>
      <c r="E207" s="15" t="s">
        <v>261</v>
      </c>
      <c r="F207" s="21">
        <v>46107</v>
      </c>
      <c r="G207" s="22">
        <v>0.67013888888888895</v>
      </c>
      <c r="H207" s="23">
        <f>(I207 *Tabelle1[[#This Row],[Umgebungsdruck]]/101325*273.15/(Tabelle1[[#This Row],[Umgebungstemperatur]]+273.15)+2.457)/1.2639</f>
        <v>10.879936686128385</v>
      </c>
      <c r="I207" s="23">
        <f>Tabelle1[[#This Row],[Gasgeschwindigkeit]]*PI()*(0.001)^2/4*1000000*60</f>
        <v>12.402408680201335</v>
      </c>
      <c r="J207" s="30">
        <v>0.26318728635998301</v>
      </c>
      <c r="K207" s="23">
        <f>Tabelle1[[#This Row],[Flüssigkeitsgeschwindigkeit]]*PI()*(0.001)^2/4*1000000*60</f>
        <v>5.2307517682270053</v>
      </c>
      <c r="L207" s="15">
        <v>0.111</v>
      </c>
      <c r="M207" s="15">
        <v>22.2</v>
      </c>
      <c r="N207" s="15">
        <v>99770</v>
      </c>
      <c r="O207" s="15">
        <v>0.9</v>
      </c>
      <c r="P207" s="15">
        <v>2</v>
      </c>
      <c r="R207" t="s">
        <v>204</v>
      </c>
      <c r="S207" s="15" t="s">
        <v>205</v>
      </c>
      <c r="T207">
        <v>1</v>
      </c>
      <c r="U207">
        <v>0.8</v>
      </c>
      <c r="V207">
        <v>1</v>
      </c>
      <c r="W207">
        <v>0.2</v>
      </c>
      <c r="X207" s="15">
        <v>72</v>
      </c>
    </row>
    <row r="208" spans="1:24" x14ac:dyDescent="0.25">
      <c r="B208" s="24" t="s">
        <v>28</v>
      </c>
      <c r="C208" s="36" t="s">
        <v>248</v>
      </c>
      <c r="D208" s="47">
        <v>154</v>
      </c>
      <c r="E208" s="15" t="s">
        <v>262</v>
      </c>
      <c r="F208" s="21">
        <v>46107</v>
      </c>
      <c r="G208" s="22">
        <v>0.67083333333333295</v>
      </c>
      <c r="H208" s="23">
        <f>(I208 *Tabelle1[[#This Row],[Umgebungsdruck]]/101325*273.15/(Tabelle1[[#This Row],[Umgebungstemperatur]]+273.15)+2.457)/1.2639</f>
        <v>10.879936686128385</v>
      </c>
      <c r="I208" s="23">
        <f>Tabelle1[[#This Row],[Gasgeschwindigkeit]]*PI()*(0.001)^2/4*1000000*60</f>
        <v>12.402408680201335</v>
      </c>
      <c r="J208" s="30">
        <v>0.26318728635998301</v>
      </c>
      <c r="K208" s="23">
        <f>Tabelle1[[#This Row],[Flüssigkeitsgeschwindigkeit]]*PI()*(0.001)^2/4*1000000*60</f>
        <v>7.8696895972424317</v>
      </c>
      <c r="L208" s="15">
        <v>0.16700000000000001</v>
      </c>
      <c r="M208" s="15">
        <v>22.2</v>
      </c>
      <c r="N208" s="15">
        <v>99770</v>
      </c>
      <c r="O208" s="15">
        <v>0.9</v>
      </c>
      <c r="P208" s="15">
        <v>2</v>
      </c>
      <c r="R208" t="s">
        <v>204</v>
      </c>
      <c r="S208" s="15" t="s">
        <v>205</v>
      </c>
      <c r="T208">
        <v>1</v>
      </c>
      <c r="U208">
        <v>0.8</v>
      </c>
      <c r="V208">
        <v>1</v>
      </c>
      <c r="W208">
        <v>0.2</v>
      </c>
      <c r="X208" s="15">
        <v>72</v>
      </c>
    </row>
    <row r="209" spans="1:24" x14ac:dyDescent="0.25">
      <c r="B209" s="24" t="s">
        <v>28</v>
      </c>
      <c r="C209" s="36" t="s">
        <v>248</v>
      </c>
      <c r="D209" s="47">
        <v>154</v>
      </c>
      <c r="E209" s="15" t="s">
        <v>263</v>
      </c>
      <c r="F209" s="21">
        <v>46107</v>
      </c>
      <c r="G209" s="22">
        <v>0.67152777777777795</v>
      </c>
      <c r="H209" s="23">
        <f>(I209 *Tabelle1[[#This Row],[Umgebungsdruck]]/101325*273.15/(Tabelle1[[#This Row],[Umgebungstemperatur]]+273.15)+2.457)/1.2639</f>
        <v>10.879936686128385</v>
      </c>
      <c r="I209" s="23">
        <f>Tabelle1[[#This Row],[Gasgeschwindigkeit]]*PI()*(0.001)^2/4*1000000*60</f>
        <v>12.402408680201335</v>
      </c>
      <c r="J209" s="30">
        <v>0.26318728635998301</v>
      </c>
      <c r="K209" s="23">
        <f>Tabelle1[[#This Row],[Flüssigkeitsgeschwindigkeit]]*PI()*(0.001)^2/4*1000000*60</f>
        <v>11.780972450961723</v>
      </c>
      <c r="L209" s="15">
        <v>0.25</v>
      </c>
      <c r="M209" s="15">
        <v>22.2</v>
      </c>
      <c r="N209" s="15">
        <v>99770</v>
      </c>
      <c r="O209" s="15">
        <v>0.9</v>
      </c>
      <c r="P209" s="15">
        <v>2</v>
      </c>
      <c r="R209" t="s">
        <v>204</v>
      </c>
      <c r="S209" s="15" t="s">
        <v>205</v>
      </c>
      <c r="T209">
        <v>1</v>
      </c>
      <c r="U209">
        <v>0.8</v>
      </c>
      <c r="V209">
        <v>1</v>
      </c>
      <c r="W209">
        <v>0.2</v>
      </c>
      <c r="X209" s="15">
        <v>72</v>
      </c>
    </row>
    <row r="210" spans="1:24" x14ac:dyDescent="0.25">
      <c r="A210" s="14" t="s">
        <v>264</v>
      </c>
      <c r="B210" s="25" t="s">
        <v>201</v>
      </c>
      <c r="C210" s="15" t="s">
        <v>265</v>
      </c>
      <c r="D210" s="15">
        <v>453.5</v>
      </c>
      <c r="E210" s="15" t="s">
        <v>266</v>
      </c>
      <c r="F210" s="21">
        <v>46100</v>
      </c>
      <c r="G210" s="22">
        <v>0.74375000000000002</v>
      </c>
      <c r="H210" s="23">
        <v>3.8697829002436399</v>
      </c>
      <c r="I210" s="23">
        <f>(Tabelle1[[#This Row],[eingestellter 
Gasstrom]]*1.2693-2.457)*101325/Tabelle1[[#This Row],[Umgebungsdruck]]*(Tabelle1[[#This Row],[Umgebungstemperatur]]+273.15)/273.15</f>
        <v>2.6732420877878198</v>
      </c>
      <c r="J210" s="35">
        <f>(Tabelle1[[#This Row],[Realer Gasstrom]] / 60) / ((PI() * (Tabelle1[[#This Row],[Kanalmaße]]/2)^2))</f>
        <v>5.6727958980363993E-2</v>
      </c>
      <c r="K210" s="23">
        <f>Tabelle1[[#This Row],[Flüssigkeitsgeschwindigkeit]]*PI()*(0.001)^2/4*1000000*60</f>
        <v>2.638937829015426</v>
      </c>
      <c r="L210" s="15">
        <v>5.6000000000000001E-2</v>
      </c>
      <c r="M210" s="15">
        <v>21.9</v>
      </c>
      <c r="N210" s="15">
        <v>100510</v>
      </c>
      <c r="P210" s="15">
        <v>3</v>
      </c>
      <c r="R210" t="s">
        <v>204</v>
      </c>
      <c r="S210" s="15" t="s">
        <v>205</v>
      </c>
      <c r="T210">
        <v>1</v>
      </c>
      <c r="U210">
        <v>0.6</v>
      </c>
      <c r="V210">
        <v>1</v>
      </c>
      <c r="W210">
        <v>0.2</v>
      </c>
      <c r="X210" s="15">
        <v>72</v>
      </c>
    </row>
    <row r="211" spans="1:24" x14ac:dyDescent="0.25">
      <c r="A211" s="14"/>
      <c r="B211" s="24" t="s">
        <v>267</v>
      </c>
      <c r="C211" s="15" t="s">
        <v>265</v>
      </c>
      <c r="D211" s="15">
        <v>453.5</v>
      </c>
      <c r="E211" s="15" t="s">
        <v>268</v>
      </c>
      <c r="F211" s="21">
        <v>46100</v>
      </c>
      <c r="G211" s="22">
        <v>0.74652777777777801</v>
      </c>
      <c r="H211" s="23">
        <v>3.8697829002436399</v>
      </c>
      <c r="I211" s="23">
        <f>(Tabelle1[[#This Row],[eingestellter 
Gasstrom]]*1.2693-2.457)*101325/Tabelle1[[#This Row],[Umgebungsdruck]]*(Tabelle1[[#This Row],[Umgebungstemperatur]]+273.15)/273.15</f>
        <v>2.6732420877878198</v>
      </c>
      <c r="J211" s="35">
        <f>(Tabelle1[[#This Row],[Realer Gasstrom]] / 60) / ((PI() * (Tabelle1[[#This Row],[Kanalmaße]]/2)^2))</f>
        <v>5.6727958980363993E-2</v>
      </c>
      <c r="K211" s="23">
        <f>Tabelle1[[#This Row],[Flüssigkeitsgeschwindigkeit]]*PI()*(0.001)^2/4*1000000*60</f>
        <v>5.2307517682270053</v>
      </c>
      <c r="L211" s="15">
        <v>0.111</v>
      </c>
      <c r="M211" s="15">
        <v>21.9</v>
      </c>
      <c r="N211" s="15">
        <v>100510</v>
      </c>
      <c r="P211" s="15">
        <v>3</v>
      </c>
      <c r="R211" t="s">
        <v>204</v>
      </c>
      <c r="S211" s="15" t="s">
        <v>205</v>
      </c>
      <c r="T211">
        <v>1</v>
      </c>
      <c r="U211">
        <v>0.6</v>
      </c>
      <c r="V211">
        <v>1</v>
      </c>
      <c r="W211">
        <v>0.2</v>
      </c>
      <c r="X211" s="15">
        <v>72</v>
      </c>
    </row>
    <row r="212" spans="1:24" x14ac:dyDescent="0.25">
      <c r="A212" s="14"/>
      <c r="B212" s="25" t="s">
        <v>251</v>
      </c>
      <c r="C212" s="15" t="s">
        <v>265</v>
      </c>
      <c r="D212" s="15">
        <v>453.5</v>
      </c>
      <c r="E212" s="15" t="s">
        <v>269</v>
      </c>
      <c r="F212" s="21">
        <v>46100</v>
      </c>
      <c r="G212" s="22">
        <v>0.74791666666666701</v>
      </c>
      <c r="H212" s="23">
        <v>6.0810874146685796</v>
      </c>
      <c r="I212" s="23">
        <f>(Tabelle1[[#This Row],[eingestellter 
Gasstrom]]*1.2693-2.457)*101325/Tabelle1[[#This Row],[Umgebungsdruck]]*(Tabelle1[[#This Row],[Umgebungstemperatur]]+273.15)/273.15</f>
        <v>5.7296730192146432</v>
      </c>
      <c r="J212" s="35">
        <f>(Tabelle1[[#This Row],[Realer Gasstrom]] / 60) / ((PI() * (Tabelle1[[#This Row],[Kanalmaße]]/2)^2))</f>
        <v>0.12158743777443662</v>
      </c>
      <c r="K212" s="23">
        <f>Tabelle1[[#This Row],[Flüssigkeitsgeschwindigkeit]]*PI()*(0.001)^2/4*1000000*60</f>
        <v>2.638937829015426</v>
      </c>
      <c r="L212" s="15">
        <v>5.6000000000000001E-2</v>
      </c>
      <c r="M212" s="15">
        <v>21.9</v>
      </c>
      <c r="N212" s="15">
        <v>100510</v>
      </c>
      <c r="P212" s="15">
        <v>3</v>
      </c>
      <c r="R212" t="s">
        <v>204</v>
      </c>
      <c r="S212" s="15" t="s">
        <v>205</v>
      </c>
      <c r="T212">
        <v>1</v>
      </c>
      <c r="U212">
        <v>0.6</v>
      </c>
      <c r="V212">
        <v>1</v>
      </c>
      <c r="W212">
        <v>0.2</v>
      </c>
      <c r="X212" s="15">
        <v>72</v>
      </c>
    </row>
    <row r="213" spans="1:24" x14ac:dyDescent="0.25">
      <c r="A213" s="14"/>
      <c r="B213" s="24" t="s">
        <v>28</v>
      </c>
      <c r="C213" s="15" t="s">
        <v>265</v>
      </c>
      <c r="D213" s="15">
        <v>453.5</v>
      </c>
      <c r="E213" s="15" t="s">
        <v>270</v>
      </c>
      <c r="F213" s="21">
        <v>46100</v>
      </c>
      <c r="G213" s="22">
        <v>0.749305555555556</v>
      </c>
      <c r="H213" s="23">
        <v>6.0810874146685796</v>
      </c>
      <c r="I213" s="23">
        <f>(Tabelle1[[#This Row],[eingestellter 
Gasstrom]]*1.2693-2.457)*101325/Tabelle1[[#This Row],[Umgebungsdruck]]*(Tabelle1[[#This Row],[Umgebungstemperatur]]+273.15)/273.15</f>
        <v>5.7296730192146432</v>
      </c>
      <c r="J213" s="35">
        <f>(Tabelle1[[#This Row],[Realer Gasstrom]] / 60) / ((PI() * (Tabelle1[[#This Row],[Kanalmaße]]/2)^2))</f>
        <v>0.12158743777443662</v>
      </c>
      <c r="K213" s="23">
        <f>Tabelle1[[#This Row],[Flüssigkeitsgeschwindigkeit]]*PI()*(0.001)^2/4*1000000*60</f>
        <v>5.2307517682270053</v>
      </c>
      <c r="L213" s="15">
        <v>0.111</v>
      </c>
      <c r="M213" s="15">
        <v>21.9</v>
      </c>
      <c r="N213" s="15">
        <v>100510</v>
      </c>
      <c r="P213" s="15">
        <v>3</v>
      </c>
      <c r="R213" t="s">
        <v>204</v>
      </c>
      <c r="S213" s="15" t="s">
        <v>205</v>
      </c>
      <c r="T213">
        <v>1</v>
      </c>
      <c r="U213">
        <v>0.6</v>
      </c>
      <c r="V213">
        <v>1</v>
      </c>
      <c r="W213">
        <v>0.2</v>
      </c>
      <c r="X213" s="15">
        <v>72</v>
      </c>
    </row>
    <row r="214" spans="1:24" x14ac:dyDescent="0.25">
      <c r="A214" s="14"/>
      <c r="B214" s="20" t="s">
        <v>23</v>
      </c>
      <c r="C214" s="15" t="s">
        <v>265</v>
      </c>
      <c r="D214" s="15">
        <v>453.5</v>
      </c>
      <c r="E214" s="15" t="s">
        <v>271</v>
      </c>
      <c r="F214" s="21">
        <v>46100</v>
      </c>
      <c r="G214" s="22">
        <v>0.75</v>
      </c>
      <c r="H214" s="23">
        <v>6.0810874146685796</v>
      </c>
      <c r="I214" s="23">
        <f>(Tabelle1[[#This Row],[eingestellter 
Gasstrom]]*1.2693-2.457)*101325/Tabelle1[[#This Row],[Umgebungsdruck]]*(Tabelle1[[#This Row],[Umgebungstemperatur]]+273.15)/273.15</f>
        <v>5.7296730192146432</v>
      </c>
      <c r="J214" s="35">
        <f>(Tabelle1[[#This Row],[Realer Gasstrom]] / 60) / ((PI() * (Tabelle1[[#This Row],[Kanalmaße]]/2)^2))</f>
        <v>0.12158743777443662</v>
      </c>
      <c r="K214" s="23">
        <f>Tabelle1[[#This Row],[Flüssigkeitsgeschwindigkeit]]*PI()*(0.001)^2/4*1000000*60</f>
        <v>7.8696895972424317</v>
      </c>
      <c r="L214" s="15">
        <v>0.16700000000000001</v>
      </c>
      <c r="M214" s="15">
        <v>21.9</v>
      </c>
      <c r="N214" s="15">
        <v>100510</v>
      </c>
      <c r="P214" s="15">
        <v>3</v>
      </c>
      <c r="R214" t="s">
        <v>204</v>
      </c>
      <c r="S214" s="15" t="s">
        <v>205</v>
      </c>
      <c r="T214">
        <v>1</v>
      </c>
      <c r="U214">
        <v>0.6</v>
      </c>
      <c r="V214">
        <v>1</v>
      </c>
      <c r="W214">
        <v>0.2</v>
      </c>
      <c r="X214" s="15">
        <v>72</v>
      </c>
    </row>
    <row r="215" spans="1:24" x14ac:dyDescent="0.25">
      <c r="A215" s="14"/>
      <c r="B215" s="24" t="s">
        <v>267</v>
      </c>
      <c r="C215" s="15" t="s">
        <v>265</v>
      </c>
      <c r="D215" s="15">
        <v>453.5</v>
      </c>
      <c r="E215" s="15" t="s">
        <v>272</v>
      </c>
      <c r="F215" s="21">
        <v>46100</v>
      </c>
      <c r="G215" s="22">
        <v>0.75277777777777799</v>
      </c>
      <c r="H215" s="23">
        <v>8.29239192909351</v>
      </c>
      <c r="I215" s="23">
        <f>(Tabelle1[[#This Row],[eingestellter 
Gasstrom]]*1.2693-2.457)*101325/Tabelle1[[#This Row],[Umgebungsdruck]]*(Tabelle1[[#This Row],[Umgebungstemperatur]]+273.15)/273.15</f>
        <v>8.7861039506414524</v>
      </c>
      <c r="J215" s="35">
        <f>(Tabelle1[[#This Row],[Realer Gasstrom]] / 60) / ((PI() * (Tabelle1[[#This Row],[Kanalmaße]]/2)^2))</f>
        <v>0.18644691656850898</v>
      </c>
      <c r="K215" s="23">
        <f>Tabelle1[[#This Row],[Flüssigkeitsgeschwindigkeit]]*PI()*(0.001)^2/4*1000000*60</f>
        <v>2.638937829015426</v>
      </c>
      <c r="L215" s="15">
        <v>5.6000000000000001E-2</v>
      </c>
      <c r="M215" s="15">
        <v>21.9</v>
      </c>
      <c r="N215" s="15">
        <v>100510</v>
      </c>
      <c r="P215" s="15">
        <v>3</v>
      </c>
      <c r="R215" t="s">
        <v>204</v>
      </c>
      <c r="S215" s="15" t="s">
        <v>205</v>
      </c>
      <c r="T215">
        <v>1</v>
      </c>
      <c r="U215">
        <v>0.6</v>
      </c>
      <c r="V215">
        <v>1</v>
      </c>
      <c r="W215">
        <v>0.2</v>
      </c>
      <c r="X215" s="15">
        <v>72</v>
      </c>
    </row>
    <row r="216" spans="1:24" x14ac:dyDescent="0.25">
      <c r="A216" s="14"/>
      <c r="B216" s="24" t="s">
        <v>28</v>
      </c>
      <c r="C216" s="15" t="s">
        <v>265</v>
      </c>
      <c r="D216" s="15">
        <v>453.5</v>
      </c>
      <c r="E216" s="15" t="s">
        <v>273</v>
      </c>
      <c r="F216" s="21">
        <v>46100</v>
      </c>
      <c r="G216" s="22">
        <v>0.75347222222222199</v>
      </c>
      <c r="H216" s="23">
        <v>8.29239192909351</v>
      </c>
      <c r="I216" s="23">
        <f>(Tabelle1[[#This Row],[eingestellter 
Gasstrom]]*1.2693-2.457)*101325/Tabelle1[[#This Row],[Umgebungsdruck]]*(Tabelle1[[#This Row],[Umgebungstemperatur]]+273.15)/273.15</f>
        <v>8.7861039506414524</v>
      </c>
      <c r="J216" s="35">
        <f>(Tabelle1[[#This Row],[Realer Gasstrom]] / 60) / ((PI() * (Tabelle1[[#This Row],[Kanalmaße]]/2)^2))</f>
        <v>0.18644691656850898</v>
      </c>
      <c r="K216" s="23">
        <f>Tabelle1[[#This Row],[Flüssigkeitsgeschwindigkeit]]*PI()*(0.001)^2/4*1000000*60</f>
        <v>5.2307517682270053</v>
      </c>
      <c r="L216" s="15">
        <v>0.111</v>
      </c>
      <c r="M216" s="15">
        <v>21.9</v>
      </c>
      <c r="N216" s="15">
        <v>100510</v>
      </c>
      <c r="P216" s="15">
        <v>3</v>
      </c>
      <c r="R216" t="s">
        <v>204</v>
      </c>
      <c r="S216" s="15" t="s">
        <v>205</v>
      </c>
      <c r="T216">
        <v>1</v>
      </c>
      <c r="U216">
        <v>0.6</v>
      </c>
      <c r="V216">
        <v>1</v>
      </c>
      <c r="W216">
        <v>0.2</v>
      </c>
      <c r="X216" s="15">
        <v>72</v>
      </c>
    </row>
    <row r="217" spans="1:24" x14ac:dyDescent="0.25">
      <c r="A217" s="14"/>
      <c r="B217" s="24" t="s">
        <v>28</v>
      </c>
      <c r="C217" s="15" t="s">
        <v>265</v>
      </c>
      <c r="D217" s="15">
        <v>453.5</v>
      </c>
      <c r="E217" s="15" t="s">
        <v>274</v>
      </c>
      <c r="F217" s="21">
        <v>46100</v>
      </c>
      <c r="G217" s="22">
        <v>0.75486111111111098</v>
      </c>
      <c r="H217" s="23">
        <v>8.29239192909351</v>
      </c>
      <c r="I217" s="23">
        <f>(Tabelle1[[#This Row],[eingestellter 
Gasstrom]]*1.2693-2.457)*101325/Tabelle1[[#This Row],[Umgebungsdruck]]*(Tabelle1[[#This Row],[Umgebungstemperatur]]+273.15)/273.15</f>
        <v>8.7861039506414524</v>
      </c>
      <c r="J217" s="35">
        <f>(Tabelle1[[#This Row],[Realer Gasstrom]] / 60) / ((PI() * (Tabelle1[[#This Row],[Kanalmaße]]/2)^2))</f>
        <v>0.18644691656850898</v>
      </c>
      <c r="K217" s="23">
        <f>Tabelle1[[#This Row],[Flüssigkeitsgeschwindigkeit]]*PI()*(0.001)^2/4*1000000*60</f>
        <v>7.8696895972424317</v>
      </c>
      <c r="L217" s="15">
        <v>0.16700000000000001</v>
      </c>
      <c r="M217" s="15">
        <v>21.9</v>
      </c>
      <c r="N217" s="15">
        <v>100510</v>
      </c>
      <c r="P217" s="15">
        <v>3</v>
      </c>
      <c r="R217" t="s">
        <v>204</v>
      </c>
      <c r="S217" s="15" t="s">
        <v>205</v>
      </c>
      <c r="T217">
        <v>1</v>
      </c>
      <c r="U217">
        <v>0.6</v>
      </c>
      <c r="V217">
        <v>1</v>
      </c>
      <c r="W217">
        <v>0.2</v>
      </c>
      <c r="X217" s="15">
        <v>72</v>
      </c>
    </row>
    <row r="218" spans="1:24" x14ac:dyDescent="0.25">
      <c r="A218" s="14"/>
      <c r="B218" s="24" t="s">
        <v>28</v>
      </c>
      <c r="C218" s="15" t="s">
        <v>265</v>
      </c>
      <c r="D218" s="15">
        <v>453.5</v>
      </c>
      <c r="E218" s="15" t="s">
        <v>275</v>
      </c>
      <c r="F218" s="21">
        <v>46100</v>
      </c>
      <c r="G218" s="22">
        <v>0.75555555555555598</v>
      </c>
      <c r="H218" s="23">
        <v>8.29239192909351</v>
      </c>
      <c r="I218" s="23">
        <f>(Tabelle1[[#This Row],[eingestellter 
Gasstrom]]*1.2693-2.457)*101325/Tabelle1[[#This Row],[Umgebungsdruck]]*(Tabelle1[[#This Row],[Umgebungstemperatur]]+273.15)/273.15</f>
        <v>8.7861039506414524</v>
      </c>
      <c r="J218" s="35">
        <f>(Tabelle1[[#This Row],[Realer Gasstrom]] / 60) / ((PI() * (Tabelle1[[#This Row],[Kanalmaße]]/2)^2))</f>
        <v>0.18644691656850898</v>
      </c>
      <c r="K218" s="23">
        <f>Tabelle1[[#This Row],[Flüssigkeitsgeschwindigkeit]]*PI()*(0.001)^2/4*1000000*60</f>
        <v>11.780972450961723</v>
      </c>
      <c r="L218" s="15">
        <v>0.25</v>
      </c>
      <c r="M218" s="15">
        <v>21.9</v>
      </c>
      <c r="N218" s="15">
        <v>100510</v>
      </c>
      <c r="P218" s="15">
        <v>3</v>
      </c>
      <c r="R218" t="s">
        <v>204</v>
      </c>
      <c r="S218" s="15" t="s">
        <v>205</v>
      </c>
      <c r="T218">
        <v>1</v>
      </c>
      <c r="U218">
        <v>0.6</v>
      </c>
      <c r="V218">
        <v>1</v>
      </c>
      <c r="W218">
        <v>0.2</v>
      </c>
      <c r="X218" s="15">
        <v>72</v>
      </c>
    </row>
    <row r="219" spans="1:24" x14ac:dyDescent="0.25">
      <c r="A219" s="14"/>
      <c r="B219" s="24" t="s">
        <v>28</v>
      </c>
      <c r="C219" s="15" t="s">
        <v>265</v>
      </c>
      <c r="D219" s="15">
        <v>453.5</v>
      </c>
      <c r="E219" s="15" t="s">
        <v>276</v>
      </c>
      <c r="F219" s="21">
        <v>46100</v>
      </c>
      <c r="G219" s="22">
        <v>0.75763888888888897</v>
      </c>
      <c r="H219" s="23">
        <v>10.5036964435184</v>
      </c>
      <c r="I219" s="23">
        <f>(Tabelle1[[#This Row],[eingestellter 
Gasstrom]]*1.2693-2.457)*101325/Tabelle1[[#This Row],[Umgebungsdruck]]*(Tabelle1[[#This Row],[Umgebungstemperatur]]+273.15)/273.15</f>
        <v>11.842534882068209</v>
      </c>
      <c r="J219" s="35">
        <f>(Tabelle1[[#This Row],[Realer Gasstrom]] / 60) / ((PI() * (Tabelle1[[#This Row],[Kanalmaße]]/2)^2))</f>
        <v>0.25130639536258015</v>
      </c>
      <c r="K219" s="23">
        <f>Tabelle1[[#This Row],[Flüssigkeitsgeschwindigkeit]]*PI()*(0.001)^2/4*1000000*60</f>
        <v>2.638937829015426</v>
      </c>
      <c r="L219" s="15">
        <v>5.6000000000000001E-2</v>
      </c>
      <c r="M219" s="15">
        <v>21.9</v>
      </c>
      <c r="N219" s="15">
        <v>100510</v>
      </c>
      <c r="P219" s="15">
        <v>3</v>
      </c>
      <c r="R219" t="s">
        <v>204</v>
      </c>
      <c r="S219" s="15" t="s">
        <v>205</v>
      </c>
      <c r="T219">
        <v>1</v>
      </c>
      <c r="U219">
        <v>0.6</v>
      </c>
      <c r="V219">
        <v>1</v>
      </c>
      <c r="W219">
        <v>0.2</v>
      </c>
      <c r="X219" s="15">
        <v>72</v>
      </c>
    </row>
    <row r="220" spans="1:24" x14ac:dyDescent="0.25">
      <c r="A220" s="14"/>
      <c r="B220" s="24" t="s">
        <v>28</v>
      </c>
      <c r="C220" s="15" t="s">
        <v>265</v>
      </c>
      <c r="D220" s="15">
        <v>453.5</v>
      </c>
      <c r="E220" s="15" t="s">
        <v>277</v>
      </c>
      <c r="F220" s="21">
        <v>46100</v>
      </c>
      <c r="G220" s="22">
        <v>0.75833333333333297</v>
      </c>
      <c r="H220" s="23">
        <v>10.5036964435184</v>
      </c>
      <c r="I220" s="23">
        <f>(Tabelle1[[#This Row],[eingestellter 
Gasstrom]]*1.2693-2.457)*101325/Tabelle1[[#This Row],[Umgebungsdruck]]*(Tabelle1[[#This Row],[Umgebungstemperatur]]+273.15)/273.15</f>
        <v>11.842534882068209</v>
      </c>
      <c r="J220" s="35">
        <f>(Tabelle1[[#This Row],[Realer Gasstrom]] / 60) / ((PI() * (Tabelle1[[#This Row],[Kanalmaße]]/2)^2))</f>
        <v>0.25130639536258015</v>
      </c>
      <c r="K220" s="23">
        <f>Tabelle1[[#This Row],[Flüssigkeitsgeschwindigkeit]]*PI()*(0.001)^2/4*1000000*60</f>
        <v>5.2307517682270053</v>
      </c>
      <c r="L220" s="15">
        <v>0.111</v>
      </c>
      <c r="M220" s="15">
        <v>21.9</v>
      </c>
      <c r="N220" s="15">
        <v>100510</v>
      </c>
      <c r="P220" s="15">
        <v>3</v>
      </c>
      <c r="R220" t="s">
        <v>204</v>
      </c>
      <c r="S220" s="15" t="s">
        <v>205</v>
      </c>
      <c r="T220">
        <v>1</v>
      </c>
      <c r="U220">
        <v>0.6</v>
      </c>
      <c r="V220">
        <v>1</v>
      </c>
      <c r="W220">
        <v>0.2</v>
      </c>
      <c r="X220" s="15">
        <v>72</v>
      </c>
    </row>
    <row r="221" spans="1:24" x14ac:dyDescent="0.25">
      <c r="A221" s="14"/>
      <c r="B221" s="24" t="s">
        <v>28</v>
      </c>
      <c r="C221" s="15" t="s">
        <v>265</v>
      </c>
      <c r="D221" s="15">
        <v>453.5</v>
      </c>
      <c r="E221" s="15" t="s">
        <v>278</v>
      </c>
      <c r="F221" s="21">
        <v>46100</v>
      </c>
      <c r="G221" s="22">
        <v>0.75972222222222197</v>
      </c>
      <c r="H221" s="23">
        <v>10.5036964435184</v>
      </c>
      <c r="I221" s="23">
        <f>(Tabelle1[[#This Row],[eingestellter 
Gasstrom]]*1.2693-2.457)*101325/Tabelle1[[#This Row],[Umgebungsdruck]]*(Tabelle1[[#This Row],[Umgebungstemperatur]]+273.15)/273.15</f>
        <v>11.842534882068209</v>
      </c>
      <c r="J221" s="35">
        <f>(Tabelle1[[#This Row],[Realer Gasstrom]] / 60) / ((PI() * (Tabelle1[[#This Row],[Kanalmaße]]/2)^2))</f>
        <v>0.25130639536258015</v>
      </c>
      <c r="K221" s="23">
        <f>Tabelle1[[#This Row],[Flüssigkeitsgeschwindigkeit]]*PI()*(0.001)^2/4*1000000*60</f>
        <v>7.8696895972424317</v>
      </c>
      <c r="L221" s="15">
        <v>0.16700000000000001</v>
      </c>
      <c r="M221" s="15">
        <v>21.9</v>
      </c>
      <c r="N221" s="15">
        <v>100510</v>
      </c>
      <c r="P221" s="15">
        <v>3</v>
      </c>
      <c r="R221" t="s">
        <v>204</v>
      </c>
      <c r="S221" s="15" t="s">
        <v>205</v>
      </c>
      <c r="T221">
        <v>1</v>
      </c>
      <c r="U221">
        <v>0.6</v>
      </c>
      <c r="V221">
        <v>1</v>
      </c>
      <c r="W221">
        <v>0.2</v>
      </c>
      <c r="X221" s="15">
        <v>72</v>
      </c>
    </row>
    <row r="222" spans="1:24" x14ac:dyDescent="0.25">
      <c r="A222" s="14"/>
      <c r="B222" s="24" t="s">
        <v>28</v>
      </c>
      <c r="C222" s="15" t="s">
        <v>265</v>
      </c>
      <c r="D222" s="15">
        <v>453.5</v>
      </c>
      <c r="E222" s="15" t="s">
        <v>279</v>
      </c>
      <c r="F222" s="21">
        <v>46100</v>
      </c>
      <c r="G222" s="22">
        <v>0.76041666666666696</v>
      </c>
      <c r="H222" s="23">
        <v>10.5036964435184</v>
      </c>
      <c r="I222" s="23">
        <f>(Tabelle1[[#This Row],[eingestellter 
Gasstrom]]*1.2693-2.457)*101325/Tabelle1[[#This Row],[Umgebungsdruck]]*(Tabelle1[[#This Row],[Umgebungstemperatur]]+273.15)/273.15</f>
        <v>11.842534882068209</v>
      </c>
      <c r="J222" s="35">
        <f>(Tabelle1[[#This Row],[Realer Gasstrom]] / 60) / ((PI() * (Tabelle1[[#This Row],[Kanalmaße]]/2)^2))</f>
        <v>0.25130639536258015</v>
      </c>
      <c r="K222" s="23">
        <f>Tabelle1[[#This Row],[Flüssigkeitsgeschwindigkeit]]*PI()*(0.001)^2/4*1000000*60</f>
        <v>11.780972450961723</v>
      </c>
      <c r="L222" s="15">
        <v>0.25</v>
      </c>
      <c r="M222" s="15">
        <v>21.9</v>
      </c>
      <c r="N222" s="15">
        <v>100510</v>
      </c>
      <c r="P222" s="15">
        <v>3</v>
      </c>
      <c r="R222" t="s">
        <v>204</v>
      </c>
      <c r="S222" s="15" t="s">
        <v>205</v>
      </c>
      <c r="T222">
        <v>1</v>
      </c>
      <c r="U222">
        <v>0.6</v>
      </c>
      <c r="V222">
        <v>1</v>
      </c>
      <c r="W222">
        <v>0.2</v>
      </c>
      <c r="X222" s="15">
        <v>72</v>
      </c>
    </row>
    <row r="223" spans="1:24" x14ac:dyDescent="0.25">
      <c r="B223" s="25" t="s">
        <v>201</v>
      </c>
      <c r="C223" s="36" t="s">
        <v>280</v>
      </c>
      <c r="D223" s="47">
        <v>454</v>
      </c>
      <c r="E223" s="15" t="s">
        <v>281</v>
      </c>
      <c r="F223" s="21">
        <v>46107</v>
      </c>
      <c r="G223" s="22">
        <v>0.68125000000000002</v>
      </c>
      <c r="H223" s="23">
        <f>(I223 *Tabelle1[[#This Row],[Umgebungsdruck]]/101325*273.15/(Tabelle1[[#This Row],[Umgebungstemperatur]]+273.15)+2.457)/1.2639</f>
        <v>4.3211576008585046</v>
      </c>
      <c r="I223" s="23">
        <f>Tabelle1[[#This Row],[Gasgeschwindigkeit]]*PI()*(0.001)^2/4*1000000*60</f>
        <v>3.2986722862692828</v>
      </c>
      <c r="J223" s="30">
        <v>7.0000000000000007E-2</v>
      </c>
      <c r="K223" s="23">
        <f>Tabelle1[[#This Row],[Flüssigkeitsgeschwindigkeit]]*PI()*(0.001)^2/4*1000000*60</f>
        <v>2.638937829015426</v>
      </c>
      <c r="L223" s="15">
        <v>5.6000000000000001E-2</v>
      </c>
      <c r="M223" s="15">
        <v>22.2</v>
      </c>
      <c r="N223" s="15">
        <v>99790</v>
      </c>
      <c r="O223" s="15">
        <v>0.9</v>
      </c>
      <c r="P223" s="15">
        <v>3</v>
      </c>
      <c r="R223" t="s">
        <v>204</v>
      </c>
      <c r="S223" s="15" t="s">
        <v>205</v>
      </c>
      <c r="T223">
        <v>1</v>
      </c>
      <c r="U223">
        <v>0.8</v>
      </c>
      <c r="V223">
        <v>1</v>
      </c>
      <c r="W223">
        <v>0.2</v>
      </c>
      <c r="X223" s="15">
        <v>72</v>
      </c>
    </row>
    <row r="224" spans="1:24" x14ac:dyDescent="0.25">
      <c r="B224" s="24" t="s">
        <v>28</v>
      </c>
      <c r="C224" s="36" t="s">
        <v>280</v>
      </c>
      <c r="D224" s="47">
        <v>454</v>
      </c>
      <c r="E224" s="15" t="s">
        <v>282</v>
      </c>
      <c r="F224" s="21">
        <v>46107</v>
      </c>
      <c r="G224" s="22">
        <v>0.68472222222222201</v>
      </c>
      <c r="H224" s="23">
        <f>(I224 *Tabelle1[[#This Row],[Umgebungsdruck]]/101325*273.15/(Tabelle1[[#This Row],[Umgebungstemperatur]]+273.15)+2.457)/1.2639</f>
        <v>4.3211576008585046</v>
      </c>
      <c r="I224" s="23">
        <f>Tabelle1[[#This Row],[Gasgeschwindigkeit]]*PI()*(0.001)^2/4*1000000*60</f>
        <v>3.2986722862692828</v>
      </c>
      <c r="J224" s="30">
        <v>7.0000000000000007E-2</v>
      </c>
      <c r="K224" s="23">
        <f>Tabelle1[[#This Row],[Flüssigkeitsgeschwindigkeit]]*PI()*(0.001)^2/4*1000000*60</f>
        <v>5.2307517682270053</v>
      </c>
      <c r="L224" s="15">
        <v>0.111</v>
      </c>
      <c r="M224" s="15">
        <v>22.2</v>
      </c>
      <c r="N224" s="15">
        <v>99790</v>
      </c>
      <c r="O224" s="15">
        <v>0.9</v>
      </c>
      <c r="P224" s="15">
        <v>3</v>
      </c>
      <c r="R224" t="s">
        <v>204</v>
      </c>
      <c r="S224" s="15" t="s">
        <v>205</v>
      </c>
      <c r="T224">
        <v>1</v>
      </c>
      <c r="U224">
        <v>0.8</v>
      </c>
      <c r="V224">
        <v>1</v>
      </c>
      <c r="W224">
        <v>0.2</v>
      </c>
      <c r="X224" s="15">
        <v>72</v>
      </c>
    </row>
    <row r="225" spans="1:24" x14ac:dyDescent="0.25">
      <c r="B225" s="25" t="s">
        <v>251</v>
      </c>
      <c r="C225" s="36" t="s">
        <v>280</v>
      </c>
      <c r="D225" s="47">
        <v>454</v>
      </c>
      <c r="E225" s="15" t="s">
        <v>283</v>
      </c>
      <c r="F225" s="21">
        <v>46107</v>
      </c>
      <c r="G225" s="22">
        <v>0.6875</v>
      </c>
      <c r="H225" s="23">
        <f>(I225 *Tabelle1[[#This Row],[Umgebungsdruck]]/101325*273.15/(Tabelle1[[#This Row],[Umgebungstemperatur]]+273.15)+2.457)/1.2639</f>
        <v>6.4945744610351035</v>
      </c>
      <c r="I225" s="23">
        <f>Tabelle1[[#This Row],[Gasgeschwindigkeit]]*PI()*(0.001)^2/4*1000000*60</f>
        <v>6.314601233715484</v>
      </c>
      <c r="J225" s="30">
        <v>0.13400000000000001</v>
      </c>
      <c r="K225" s="23">
        <f>Tabelle1[[#This Row],[Flüssigkeitsgeschwindigkeit]]*PI()*(0.001)^2/4*1000000*60</f>
        <v>2.638937829015426</v>
      </c>
      <c r="L225" s="15">
        <v>5.6000000000000001E-2</v>
      </c>
      <c r="M225" s="15">
        <v>22.2</v>
      </c>
      <c r="N225" s="15">
        <v>99790</v>
      </c>
      <c r="O225" s="15">
        <v>1</v>
      </c>
      <c r="P225" s="15">
        <v>3</v>
      </c>
      <c r="R225" t="s">
        <v>204</v>
      </c>
      <c r="S225" s="15" t="s">
        <v>205</v>
      </c>
      <c r="T225">
        <v>1</v>
      </c>
      <c r="U225">
        <v>0.8</v>
      </c>
      <c r="V225">
        <v>1</v>
      </c>
      <c r="W225">
        <v>0.2</v>
      </c>
      <c r="X225" s="15">
        <v>72</v>
      </c>
    </row>
    <row r="226" spans="1:24" x14ac:dyDescent="0.25">
      <c r="B226" s="24" t="s">
        <v>28</v>
      </c>
      <c r="C226" s="36" t="s">
        <v>280</v>
      </c>
      <c r="D226" s="47">
        <v>454</v>
      </c>
      <c r="E226" s="15" t="s">
        <v>284</v>
      </c>
      <c r="F226" s="21">
        <v>46107</v>
      </c>
      <c r="G226" s="22">
        <v>0.688194444444444</v>
      </c>
      <c r="H226" s="23">
        <f>(I226 *Tabelle1[[#This Row],[Umgebungsdruck]]/101325*273.15/(Tabelle1[[#This Row],[Umgebungstemperatur]]+273.15)+2.457)/1.2639</f>
        <v>6.4945744610351035</v>
      </c>
      <c r="I226" s="23">
        <f>Tabelle1[[#This Row],[Gasgeschwindigkeit]]*PI()*(0.001)^2/4*1000000*60</f>
        <v>6.314601233715484</v>
      </c>
      <c r="J226" s="30">
        <v>0.13400000000000001</v>
      </c>
      <c r="K226" s="23">
        <f>Tabelle1[[#This Row],[Flüssigkeitsgeschwindigkeit]]*PI()*(0.001)^2/4*1000000*60</f>
        <v>5.2307517682270053</v>
      </c>
      <c r="L226" s="15">
        <v>0.111</v>
      </c>
      <c r="M226" s="15">
        <v>22.2</v>
      </c>
      <c r="N226" s="15">
        <v>99790</v>
      </c>
      <c r="O226" s="15">
        <v>1</v>
      </c>
      <c r="P226" s="15">
        <v>3</v>
      </c>
      <c r="R226" t="s">
        <v>204</v>
      </c>
      <c r="S226" s="15" t="s">
        <v>205</v>
      </c>
      <c r="T226">
        <v>1</v>
      </c>
      <c r="U226">
        <v>0.8</v>
      </c>
      <c r="V226">
        <v>1</v>
      </c>
      <c r="W226">
        <v>0.2</v>
      </c>
      <c r="X226" s="15">
        <v>72</v>
      </c>
    </row>
    <row r="227" spans="1:24" x14ac:dyDescent="0.25">
      <c r="B227" s="24" t="s">
        <v>28</v>
      </c>
      <c r="C227" s="36" t="s">
        <v>280</v>
      </c>
      <c r="D227" s="47">
        <v>454</v>
      </c>
      <c r="E227" s="15" t="s">
        <v>285</v>
      </c>
      <c r="F227" s="21">
        <v>46107</v>
      </c>
      <c r="G227" s="22">
        <v>0.69097222222222199</v>
      </c>
      <c r="H227" s="23">
        <f>(I227 *Tabelle1[[#This Row],[Umgebungsdruck]]/101325*273.15/(Tabelle1[[#This Row],[Umgebungstemperatur]]+273.15)+2.457)/1.2639</f>
        <v>6.4945744610351035</v>
      </c>
      <c r="I227" s="23">
        <f>Tabelle1[[#This Row],[Gasgeschwindigkeit]]*PI()*(0.001)^2/4*1000000*60</f>
        <v>6.314601233715484</v>
      </c>
      <c r="J227" s="30">
        <v>0.13400000000000001</v>
      </c>
      <c r="K227" s="23">
        <f>Tabelle1[[#This Row],[Flüssigkeitsgeschwindigkeit]]*PI()*(0.001)^2/4*1000000*60</f>
        <v>7.8696895972424317</v>
      </c>
      <c r="L227" s="15">
        <v>0.16700000000000001</v>
      </c>
      <c r="M227" s="15">
        <v>22.2</v>
      </c>
      <c r="N227" s="15">
        <v>99790</v>
      </c>
      <c r="O227" s="15">
        <v>1</v>
      </c>
      <c r="P227" s="15">
        <v>3</v>
      </c>
      <c r="R227" t="s">
        <v>204</v>
      </c>
      <c r="S227" s="15" t="s">
        <v>205</v>
      </c>
      <c r="T227">
        <v>1</v>
      </c>
      <c r="U227">
        <v>0.8</v>
      </c>
      <c r="V227">
        <v>1</v>
      </c>
      <c r="W227">
        <v>0.2</v>
      </c>
      <c r="X227" s="15">
        <v>72</v>
      </c>
    </row>
    <row r="228" spans="1:24" x14ac:dyDescent="0.25">
      <c r="B228" s="24" t="s">
        <v>28</v>
      </c>
      <c r="C228" s="36" t="s">
        <v>280</v>
      </c>
      <c r="D228" s="47">
        <v>454</v>
      </c>
      <c r="E228" s="15" t="s">
        <v>286</v>
      </c>
      <c r="F228" s="21">
        <v>46107</v>
      </c>
      <c r="G228" s="22">
        <v>0.69166666666666698</v>
      </c>
      <c r="H228" s="23">
        <f>(I228 *Tabelle1[[#This Row],[Umgebungsdruck]]/101325*273.15/(Tabelle1[[#This Row],[Umgebungstemperatur]]+273.15)+2.457)/1.2639</f>
        <v>6.4945744610351035</v>
      </c>
      <c r="I228" s="23">
        <f>Tabelle1[[#This Row],[Gasgeschwindigkeit]]*PI()*(0.001)^2/4*1000000*60</f>
        <v>6.314601233715484</v>
      </c>
      <c r="J228" s="30">
        <v>0.13400000000000001</v>
      </c>
      <c r="K228" s="23">
        <f>Tabelle1[[#This Row],[Flüssigkeitsgeschwindigkeit]]*PI()*(0.001)^2/4*1000000*60</f>
        <v>11.780972450961723</v>
      </c>
      <c r="L228" s="15">
        <v>0.25</v>
      </c>
      <c r="M228" s="15">
        <v>22.2</v>
      </c>
      <c r="N228" s="15">
        <v>99790</v>
      </c>
      <c r="O228" s="15">
        <v>1</v>
      </c>
      <c r="P228" s="15">
        <v>3</v>
      </c>
      <c r="R228" t="s">
        <v>204</v>
      </c>
      <c r="S228" s="15" t="s">
        <v>205</v>
      </c>
      <c r="T228">
        <v>1</v>
      </c>
      <c r="U228">
        <v>0.8</v>
      </c>
      <c r="V228">
        <v>1</v>
      </c>
      <c r="W228">
        <v>0.2</v>
      </c>
      <c r="X228" s="15">
        <v>72</v>
      </c>
    </row>
    <row r="229" spans="1:24" x14ac:dyDescent="0.25">
      <c r="B229" s="24" t="s">
        <v>28</v>
      </c>
      <c r="C229" s="36" t="s">
        <v>280</v>
      </c>
      <c r="D229" s="47">
        <v>454</v>
      </c>
      <c r="E229" s="15" t="s">
        <v>287</v>
      </c>
      <c r="F229" s="21">
        <v>46107</v>
      </c>
      <c r="G229" s="22">
        <v>0.69444444444444497</v>
      </c>
      <c r="H229" s="23">
        <f>(I229 *Tabelle1[[#This Row],[Umgebungsdruck]]/101325*273.15/(Tabelle1[[#This Row],[Umgebungstemperatur]]+273.15)+2.457)/1.2639</f>
        <v>8.67912354762802</v>
      </c>
      <c r="I229" s="23">
        <f>Tabelle1[[#This Row],[Gasgeschwindigkeit]]*PI()*(0.001)^2/4*1000000*60</f>
        <v>9.3459777487745423</v>
      </c>
      <c r="J229" s="30">
        <v>0.19832780756591101</v>
      </c>
      <c r="K229" s="23">
        <f>Tabelle1[[#This Row],[Flüssigkeitsgeschwindigkeit]]*PI()*(0.001)^2/4*1000000*60</f>
        <v>2.638937829015426</v>
      </c>
      <c r="L229" s="15">
        <v>5.6000000000000001E-2</v>
      </c>
      <c r="M229" s="15">
        <v>22.2</v>
      </c>
      <c r="N229" s="15">
        <v>99790</v>
      </c>
      <c r="O229" s="15">
        <v>0.9</v>
      </c>
      <c r="P229" s="15">
        <v>3</v>
      </c>
      <c r="R229" t="s">
        <v>204</v>
      </c>
      <c r="S229" s="15" t="s">
        <v>205</v>
      </c>
      <c r="T229">
        <v>1</v>
      </c>
      <c r="U229">
        <v>0.8</v>
      </c>
      <c r="V229">
        <v>1</v>
      </c>
      <c r="W229">
        <v>0.2</v>
      </c>
      <c r="X229" s="15">
        <v>72</v>
      </c>
    </row>
    <row r="230" spans="1:24" x14ac:dyDescent="0.25">
      <c r="B230" s="24" t="s">
        <v>28</v>
      </c>
      <c r="C230" s="36" t="s">
        <v>280</v>
      </c>
      <c r="D230" s="47">
        <v>454</v>
      </c>
      <c r="E230" s="15" t="s">
        <v>288</v>
      </c>
      <c r="F230" s="21">
        <v>46107</v>
      </c>
      <c r="G230" s="22">
        <v>0.69513888888888897</v>
      </c>
      <c r="H230" s="23">
        <f>(I230 *Tabelle1[[#This Row],[Umgebungsdruck]]/101325*273.15/(Tabelle1[[#This Row],[Umgebungstemperatur]]+273.15)+2.457)/1.2639</f>
        <v>8.67912354762802</v>
      </c>
      <c r="I230" s="23">
        <f>Tabelle1[[#This Row],[Gasgeschwindigkeit]]*PI()*(0.001)^2/4*1000000*60</f>
        <v>9.3459777487745423</v>
      </c>
      <c r="J230" s="30">
        <v>0.19832780756591101</v>
      </c>
      <c r="K230" s="23">
        <f>Tabelle1[[#This Row],[Flüssigkeitsgeschwindigkeit]]*PI()*(0.001)^2/4*1000000*60</f>
        <v>5.2307517682270053</v>
      </c>
      <c r="L230" s="15">
        <v>0.111</v>
      </c>
      <c r="M230" s="15">
        <v>22.2</v>
      </c>
      <c r="N230" s="15">
        <v>99790</v>
      </c>
      <c r="O230" s="15">
        <v>0.9</v>
      </c>
      <c r="P230" s="15">
        <v>3</v>
      </c>
      <c r="R230" t="s">
        <v>204</v>
      </c>
      <c r="S230" s="15" t="s">
        <v>205</v>
      </c>
      <c r="T230">
        <v>1</v>
      </c>
      <c r="U230">
        <v>0.8</v>
      </c>
      <c r="V230">
        <v>1</v>
      </c>
      <c r="W230">
        <v>0.2</v>
      </c>
      <c r="X230" s="15">
        <v>72</v>
      </c>
    </row>
    <row r="231" spans="1:24" x14ac:dyDescent="0.25">
      <c r="B231" s="24" t="s">
        <v>28</v>
      </c>
      <c r="C231" s="36" t="s">
        <v>280</v>
      </c>
      <c r="D231" s="47">
        <v>454</v>
      </c>
      <c r="E231" s="15" t="s">
        <v>289</v>
      </c>
      <c r="F231" s="21">
        <v>46107</v>
      </c>
      <c r="G231" s="22">
        <v>0.69583333333333297</v>
      </c>
      <c r="H231" s="23">
        <f>(I231 *Tabelle1[[#This Row],[Umgebungsdruck]]/101325*273.15/(Tabelle1[[#This Row],[Umgebungstemperatur]]+273.15)+2.457)/1.2639</f>
        <v>8.67912354762802</v>
      </c>
      <c r="I231" s="23">
        <f>Tabelle1[[#This Row],[Gasgeschwindigkeit]]*PI()*(0.001)^2/4*1000000*60</f>
        <v>9.3459777487745423</v>
      </c>
      <c r="J231" s="30">
        <v>0.19832780756591101</v>
      </c>
      <c r="K231" s="23">
        <f>Tabelle1[[#This Row],[Flüssigkeitsgeschwindigkeit]]*PI()*(0.001)^2/4*1000000*60</f>
        <v>7.8696895972424317</v>
      </c>
      <c r="L231" s="15">
        <v>0.16700000000000001</v>
      </c>
      <c r="M231" s="15">
        <v>22.2</v>
      </c>
      <c r="N231" s="15">
        <v>99790</v>
      </c>
      <c r="O231" s="15">
        <v>0.9</v>
      </c>
      <c r="P231" s="15">
        <v>3</v>
      </c>
      <c r="R231" t="s">
        <v>204</v>
      </c>
      <c r="S231" s="15" t="s">
        <v>205</v>
      </c>
      <c r="T231">
        <v>1</v>
      </c>
      <c r="U231">
        <v>0.8</v>
      </c>
      <c r="V231">
        <v>1</v>
      </c>
      <c r="W231">
        <v>0.2</v>
      </c>
      <c r="X231" s="15">
        <v>72</v>
      </c>
    </row>
    <row r="232" spans="1:24" x14ac:dyDescent="0.25">
      <c r="B232" s="24" t="s">
        <v>28</v>
      </c>
      <c r="C232" s="36" t="s">
        <v>280</v>
      </c>
      <c r="D232" s="47">
        <v>454</v>
      </c>
      <c r="E232" s="15" t="s">
        <v>290</v>
      </c>
      <c r="F232" s="21">
        <v>46107</v>
      </c>
      <c r="G232" s="22">
        <v>0.69722222222222197</v>
      </c>
      <c r="H232" s="23">
        <f>(I232 *Tabelle1[[#This Row],[Umgebungsdruck]]/101325*273.15/(Tabelle1[[#This Row],[Umgebungstemperatur]]+273.15)+2.457)/1.2639</f>
        <v>8.67912354762802</v>
      </c>
      <c r="I232" s="23">
        <f>Tabelle1[[#This Row],[Gasgeschwindigkeit]]*PI()*(0.001)^2/4*1000000*60</f>
        <v>9.3459777487745423</v>
      </c>
      <c r="J232" s="30">
        <v>0.19832780756591101</v>
      </c>
      <c r="K232" s="23">
        <f>Tabelle1[[#This Row],[Flüssigkeitsgeschwindigkeit]]*PI()*(0.001)^2/4*1000000*60</f>
        <v>11.780972450961723</v>
      </c>
      <c r="L232" s="15">
        <v>0.25</v>
      </c>
      <c r="M232" s="15">
        <v>22.2</v>
      </c>
      <c r="N232" s="15">
        <v>99790</v>
      </c>
      <c r="O232" s="15">
        <v>0.9</v>
      </c>
      <c r="P232" s="15">
        <v>3</v>
      </c>
      <c r="R232" t="s">
        <v>204</v>
      </c>
      <c r="S232" s="15" t="s">
        <v>205</v>
      </c>
      <c r="T232">
        <v>1</v>
      </c>
      <c r="U232">
        <v>0.8</v>
      </c>
      <c r="V232">
        <v>1</v>
      </c>
      <c r="W232">
        <v>0.2</v>
      </c>
      <c r="X232" s="15">
        <v>72</v>
      </c>
    </row>
    <row r="233" spans="1:24" x14ac:dyDescent="0.25">
      <c r="B233" s="24" t="s">
        <v>28</v>
      </c>
      <c r="C233" s="36" t="s">
        <v>280</v>
      </c>
      <c r="D233" s="47">
        <v>454</v>
      </c>
      <c r="E233" s="15" t="s">
        <v>291</v>
      </c>
      <c r="F233" s="21">
        <v>46107</v>
      </c>
      <c r="G233" s="22">
        <v>0.7</v>
      </c>
      <c r="H233" s="23">
        <f>(I233 *Tabelle1[[#This Row],[Umgebungsdruck]]/101325*273.15/(Tabelle1[[#This Row],[Umgebungstemperatur]]+273.15)+2.457)/1.2639</f>
        <v>10.881727996898373</v>
      </c>
      <c r="I233" s="23">
        <f>Tabelle1[[#This Row],[Gasgeschwindigkeit]]*PI()*(0.001)^2/4*1000000*60</f>
        <v>12.402408680201335</v>
      </c>
      <c r="J233" s="30">
        <v>0.26318728635998301</v>
      </c>
      <c r="K233" s="23">
        <f>Tabelle1[[#This Row],[Flüssigkeitsgeschwindigkeit]]*PI()*(0.001)^2/4*1000000*60</f>
        <v>2.638937829015426</v>
      </c>
      <c r="L233" s="15">
        <v>5.6000000000000001E-2</v>
      </c>
      <c r="M233" s="15">
        <v>22.2</v>
      </c>
      <c r="N233" s="15">
        <v>99790</v>
      </c>
      <c r="O233" s="15">
        <v>0.9</v>
      </c>
      <c r="P233" s="15">
        <v>3</v>
      </c>
      <c r="R233" t="s">
        <v>204</v>
      </c>
      <c r="S233" s="15" t="s">
        <v>205</v>
      </c>
      <c r="T233">
        <v>1</v>
      </c>
      <c r="U233">
        <v>0.8</v>
      </c>
      <c r="V233">
        <v>1</v>
      </c>
      <c r="W233">
        <v>0.2</v>
      </c>
      <c r="X233" s="15">
        <v>72</v>
      </c>
    </row>
    <row r="234" spans="1:24" x14ac:dyDescent="0.25">
      <c r="B234" s="24" t="s">
        <v>28</v>
      </c>
      <c r="C234" s="36" t="s">
        <v>280</v>
      </c>
      <c r="D234" s="47">
        <v>454</v>
      </c>
      <c r="E234" s="15" t="s">
        <v>292</v>
      </c>
      <c r="F234" s="21">
        <v>46107</v>
      </c>
      <c r="G234" s="22">
        <v>0.70069444444444395</v>
      </c>
      <c r="H234" s="23">
        <f>(I234 *Tabelle1[[#This Row],[Umgebungsdruck]]/101325*273.15/(Tabelle1[[#This Row],[Umgebungstemperatur]]+273.15)+2.457)/1.2639</f>
        <v>10.881727996898373</v>
      </c>
      <c r="I234" s="23">
        <f>Tabelle1[[#This Row],[Gasgeschwindigkeit]]*PI()*(0.001)^2/4*1000000*60</f>
        <v>12.402408680201335</v>
      </c>
      <c r="J234" s="30">
        <v>0.26318728635998301</v>
      </c>
      <c r="K234" s="23">
        <f>Tabelle1[[#This Row],[Flüssigkeitsgeschwindigkeit]]*PI()*(0.001)^2/4*1000000*60</f>
        <v>5.2307517682270053</v>
      </c>
      <c r="L234" s="15">
        <v>0.111</v>
      </c>
      <c r="M234" s="15">
        <v>22.2</v>
      </c>
      <c r="N234" s="15">
        <v>99790</v>
      </c>
      <c r="O234" s="15">
        <v>0.9</v>
      </c>
      <c r="P234" s="15">
        <v>3</v>
      </c>
      <c r="R234" t="s">
        <v>204</v>
      </c>
      <c r="S234" s="15" t="s">
        <v>205</v>
      </c>
      <c r="T234">
        <v>1</v>
      </c>
      <c r="U234">
        <v>0.8</v>
      </c>
      <c r="V234">
        <v>1</v>
      </c>
      <c r="W234">
        <v>0.2</v>
      </c>
      <c r="X234" s="15">
        <v>72</v>
      </c>
    </row>
    <row r="235" spans="1:24" x14ac:dyDescent="0.25">
      <c r="B235" s="24" t="s">
        <v>28</v>
      </c>
      <c r="C235" s="36" t="s">
        <v>280</v>
      </c>
      <c r="D235" s="47">
        <v>454</v>
      </c>
      <c r="E235" s="15" t="s">
        <v>293</v>
      </c>
      <c r="F235" s="21">
        <v>46107</v>
      </c>
      <c r="G235" s="22">
        <v>0.70208333333333295</v>
      </c>
      <c r="H235" s="23">
        <f>(I235 *Tabelle1[[#This Row],[Umgebungsdruck]]/101325*273.15/(Tabelle1[[#This Row],[Umgebungstemperatur]]+273.15)+2.457)/1.2639</f>
        <v>10.881727996898373</v>
      </c>
      <c r="I235" s="23">
        <f>Tabelle1[[#This Row],[Gasgeschwindigkeit]]*PI()*(0.001)^2/4*1000000*60</f>
        <v>12.402408680201335</v>
      </c>
      <c r="J235" s="30">
        <v>0.26318728635998301</v>
      </c>
      <c r="K235" s="23">
        <f>Tabelle1[[#This Row],[Flüssigkeitsgeschwindigkeit]]*PI()*(0.001)^2/4*1000000*60</f>
        <v>7.8696895972424317</v>
      </c>
      <c r="L235" s="15">
        <v>0.16700000000000001</v>
      </c>
      <c r="M235" s="15">
        <v>22.2</v>
      </c>
      <c r="N235" s="15">
        <v>99790</v>
      </c>
      <c r="O235" s="15">
        <v>0.9</v>
      </c>
      <c r="P235" s="15">
        <v>3</v>
      </c>
      <c r="R235" t="s">
        <v>204</v>
      </c>
      <c r="S235" s="15" t="s">
        <v>205</v>
      </c>
      <c r="T235">
        <v>1</v>
      </c>
      <c r="U235">
        <v>0.8</v>
      </c>
      <c r="V235">
        <v>1</v>
      </c>
      <c r="W235">
        <v>0.2</v>
      </c>
      <c r="X235" s="15">
        <v>72</v>
      </c>
    </row>
    <row r="236" spans="1:24" x14ac:dyDescent="0.25">
      <c r="B236" s="24" t="s">
        <v>28</v>
      </c>
      <c r="C236" s="36" t="s">
        <v>280</v>
      </c>
      <c r="D236" s="47">
        <v>454</v>
      </c>
      <c r="E236" s="15" t="s">
        <v>294</v>
      </c>
      <c r="F236" s="21">
        <v>46107</v>
      </c>
      <c r="G236" s="22">
        <v>0.70277777777777795</v>
      </c>
      <c r="H236" s="23">
        <f>(I236 *Tabelle1[[#This Row],[Umgebungsdruck]]/101325*273.15/(Tabelle1[[#This Row],[Umgebungstemperatur]]+273.15)+2.457)/1.2639</f>
        <v>10.881727996898373</v>
      </c>
      <c r="I236" s="23">
        <f>Tabelle1[[#This Row],[Gasgeschwindigkeit]]*PI()*(0.001)^2/4*1000000*60</f>
        <v>12.402408680201335</v>
      </c>
      <c r="J236" s="30">
        <v>0.26318728635998301</v>
      </c>
      <c r="K236" s="23">
        <f>Tabelle1[[#This Row],[Flüssigkeitsgeschwindigkeit]]*PI()*(0.001)^2/4*1000000*60</f>
        <v>11.780972450961723</v>
      </c>
      <c r="L236" s="15">
        <v>0.25</v>
      </c>
      <c r="M236" s="15">
        <v>22.2</v>
      </c>
      <c r="N236" s="15">
        <v>99790</v>
      </c>
      <c r="O236" s="15">
        <v>0.9</v>
      </c>
      <c r="P236" s="15">
        <v>3</v>
      </c>
      <c r="R236" t="s">
        <v>204</v>
      </c>
      <c r="S236" s="15" t="s">
        <v>205</v>
      </c>
      <c r="T236">
        <v>1</v>
      </c>
      <c r="U236">
        <v>0.8</v>
      </c>
      <c r="V236">
        <v>1</v>
      </c>
      <c r="W236">
        <v>0.2</v>
      </c>
      <c r="X236" s="15">
        <v>72</v>
      </c>
    </row>
    <row r="237" spans="1:24" x14ac:dyDescent="0.25">
      <c r="A237" s="14" t="s">
        <v>295</v>
      </c>
      <c r="B237" s="24"/>
      <c r="C237" s="15" t="s">
        <v>296</v>
      </c>
      <c r="D237" s="15">
        <v>0</v>
      </c>
      <c r="E237" s="15" t="s">
        <v>297</v>
      </c>
      <c r="F237" s="21">
        <v>46105</v>
      </c>
      <c r="G237" s="22">
        <v>0.62291666666666701</v>
      </c>
      <c r="H237" s="23">
        <v>6.0656039831672697</v>
      </c>
      <c r="I237" s="23">
        <f>(Tabelle1[[#This Row],[eingestellter 
Gasstrom]]*1.2693-2.457)*101325/Tabelle1[[#This Row],[Umgebungsdruck]]*(Tabelle1[[#This Row],[Umgebungstemperatur]]+273.15)/273.15</f>
        <v>5.7228433436289246</v>
      </c>
      <c r="J237" s="35">
        <f>(Tabelle1[[#This Row],[Realer Gasstrom]] / 60) / ((PI() * (Tabelle1[[#This Row],[Kanalmaße]]/2)^2))</f>
        <v>0.12144250755721248</v>
      </c>
      <c r="K237" s="23">
        <f>Tabelle1[[#This Row],[Flüssigkeitsgeschwindigkeit]]*PI()*(0.001)^2/4*1000000*60</f>
        <v>5.2307517682270053</v>
      </c>
      <c r="L237" s="15">
        <v>0.111</v>
      </c>
      <c r="M237" s="15">
        <v>22.3</v>
      </c>
      <c r="N237" s="15">
        <v>100390</v>
      </c>
      <c r="O237" s="15">
        <v>0.7</v>
      </c>
      <c r="P237" s="15">
        <v>1</v>
      </c>
      <c r="R237" t="s">
        <v>204</v>
      </c>
      <c r="S237" s="15" t="s">
        <v>205</v>
      </c>
      <c r="T237">
        <v>1</v>
      </c>
      <c r="U237">
        <v>0.6</v>
      </c>
      <c r="V237">
        <v>1</v>
      </c>
      <c r="W237">
        <v>0.2</v>
      </c>
      <c r="X237" s="15">
        <v>72</v>
      </c>
    </row>
    <row r="238" spans="1:24" x14ac:dyDescent="0.25">
      <c r="A238" s="14"/>
      <c r="B238" s="24"/>
      <c r="C238" s="15" t="s">
        <v>296</v>
      </c>
      <c r="D238" s="15">
        <v>0</v>
      </c>
      <c r="E238" s="15" t="s">
        <v>298</v>
      </c>
      <c r="F238" s="21">
        <v>46105</v>
      </c>
      <c r="G238" s="22">
        <v>0.62847222222222199</v>
      </c>
      <c r="H238" s="23">
        <v>8.2712781588644493</v>
      </c>
      <c r="I238" s="23">
        <f>(Tabelle1[[#This Row],[eingestellter 
Gasstrom]]*1.2693-2.457)*101325/Tabelle1[[#This Row],[Umgebungsdruck]]*(Tabelle1[[#This Row],[Umgebungstemperatur]]+273.15)/273.15</f>
        <v>8.7792742750557338</v>
      </c>
      <c r="J238" s="35">
        <f>(Tabelle1[[#This Row],[Realer Gasstrom]] / 60) / ((PI() * (Tabelle1[[#This Row],[Kanalmaße]]/2)^2))</f>
        <v>0.18630198635128481</v>
      </c>
      <c r="K238" s="23">
        <f>Tabelle1[[#This Row],[Flüssigkeitsgeschwindigkeit]]*PI()*(0.001)^2/4*1000000*60</f>
        <v>2.638937829015426</v>
      </c>
      <c r="L238" s="15">
        <v>5.6000000000000001E-2</v>
      </c>
      <c r="M238" s="15">
        <v>22.3</v>
      </c>
      <c r="N238" s="15">
        <v>100390</v>
      </c>
      <c r="P238" s="15">
        <v>1</v>
      </c>
      <c r="R238" t="s">
        <v>204</v>
      </c>
      <c r="S238" s="15" t="s">
        <v>205</v>
      </c>
      <c r="T238">
        <v>1</v>
      </c>
      <c r="U238">
        <v>0.6</v>
      </c>
      <c r="V238">
        <v>1</v>
      </c>
      <c r="W238">
        <v>0.2</v>
      </c>
      <c r="X238" s="15">
        <v>72</v>
      </c>
    </row>
    <row r="239" spans="1:24" x14ac:dyDescent="0.25">
      <c r="A239" s="14"/>
      <c r="B239" s="24"/>
      <c r="C239" s="15" t="s">
        <v>296</v>
      </c>
      <c r="D239" s="15">
        <v>0</v>
      </c>
      <c r="E239" s="15" t="s">
        <v>299</v>
      </c>
      <c r="F239" s="21">
        <v>46105</v>
      </c>
      <c r="G239" s="22">
        <v>0.62916666666666698</v>
      </c>
      <c r="H239" s="23">
        <v>8.2712781588644493</v>
      </c>
      <c r="I239" s="23">
        <f>(Tabelle1[[#This Row],[eingestellter 
Gasstrom]]*1.2693-2.457)*101325/Tabelle1[[#This Row],[Umgebungsdruck]]*(Tabelle1[[#This Row],[Umgebungstemperatur]]+273.15)/273.15</f>
        <v>8.7792742750557338</v>
      </c>
      <c r="J239" s="35">
        <f>(Tabelle1[[#This Row],[Realer Gasstrom]] / 60) / ((PI() * (Tabelle1[[#This Row],[Kanalmaße]]/2)^2))</f>
        <v>0.18630198635128481</v>
      </c>
      <c r="K239" s="23">
        <f>Tabelle1[[#This Row],[Flüssigkeitsgeschwindigkeit]]*PI()*(0.001)^2/4*1000000*60</f>
        <v>11.780972450961723</v>
      </c>
      <c r="L239" s="15">
        <v>0.25</v>
      </c>
      <c r="M239" s="15">
        <v>22.3</v>
      </c>
      <c r="N239" s="15">
        <v>100390</v>
      </c>
      <c r="P239" s="15">
        <v>1</v>
      </c>
      <c r="R239" t="s">
        <v>204</v>
      </c>
      <c r="S239" s="15" t="s">
        <v>205</v>
      </c>
      <c r="T239">
        <v>1</v>
      </c>
      <c r="U239">
        <v>0.6</v>
      </c>
      <c r="V239">
        <v>1</v>
      </c>
      <c r="W239">
        <v>0.2</v>
      </c>
      <c r="X239" s="15">
        <v>72</v>
      </c>
    </row>
    <row r="240" spans="1:24" x14ac:dyDescent="0.25">
      <c r="A240" s="14"/>
      <c r="B240" s="24"/>
      <c r="C240" s="15" t="s">
        <v>296</v>
      </c>
      <c r="D240" s="15">
        <v>0</v>
      </c>
      <c r="E240" s="15" t="s">
        <v>300</v>
      </c>
      <c r="F240" s="21">
        <v>46105</v>
      </c>
      <c r="G240" s="22">
        <v>0.63124999999999998</v>
      </c>
      <c r="H240" s="23">
        <v>10.4769523345616</v>
      </c>
      <c r="I240" s="23">
        <f>(Tabelle1[[#This Row],[eingestellter 
Gasstrom]]*1.2693-2.457)*101325/Tabelle1[[#This Row],[Umgebungsdruck]]*(Tabelle1[[#This Row],[Umgebungstemperatur]]+273.15)/273.15</f>
        <v>11.835705206482503</v>
      </c>
      <c r="J240" s="35">
        <f>(Tabelle1[[#This Row],[Realer Gasstrom]] / 60) / ((PI() * (Tabelle1[[#This Row],[Kanalmaße]]/2)^2))</f>
        <v>0.25116146514535631</v>
      </c>
      <c r="K240" s="23">
        <f>Tabelle1[[#This Row],[Flüssigkeitsgeschwindigkeit]]*PI()*(0.001)^2/4*1000000*60</f>
        <v>2.638937829015426</v>
      </c>
      <c r="L240" s="15">
        <v>5.6000000000000001E-2</v>
      </c>
      <c r="M240" s="15">
        <v>22.3</v>
      </c>
      <c r="N240" s="15">
        <v>100390</v>
      </c>
      <c r="P240" s="15">
        <v>1</v>
      </c>
      <c r="R240" t="s">
        <v>204</v>
      </c>
      <c r="S240" s="15" t="s">
        <v>205</v>
      </c>
      <c r="T240">
        <v>1</v>
      </c>
      <c r="U240">
        <v>0.6</v>
      </c>
      <c r="V240">
        <v>1</v>
      </c>
      <c r="W240">
        <v>0.2</v>
      </c>
      <c r="X240" s="15">
        <v>72</v>
      </c>
    </row>
    <row r="241" spans="1:24" x14ac:dyDescent="0.25">
      <c r="A241" s="14"/>
      <c r="B241" s="24"/>
      <c r="C241" s="15" t="s">
        <v>296</v>
      </c>
      <c r="D241" s="15">
        <v>0</v>
      </c>
      <c r="E241" s="15" t="s">
        <v>301</v>
      </c>
      <c r="F241" s="21">
        <v>46105</v>
      </c>
      <c r="G241" s="22">
        <v>0.63194444444444398</v>
      </c>
      <c r="H241" s="23">
        <v>10.4769523345616</v>
      </c>
      <c r="I241" s="23">
        <f>(Tabelle1[[#This Row],[eingestellter 
Gasstrom]]*1.2693-2.457)*101325/Tabelle1[[#This Row],[Umgebungsdruck]]*(Tabelle1[[#This Row],[Umgebungstemperatur]]+273.15)/273.15</f>
        <v>11.835705206482503</v>
      </c>
      <c r="J241" s="35">
        <f>(Tabelle1[[#This Row],[Realer Gasstrom]] / 60) / ((PI() * (Tabelle1[[#This Row],[Kanalmaße]]/2)^2))</f>
        <v>0.25116146514535631</v>
      </c>
      <c r="K241" s="23">
        <f>Tabelle1[[#This Row],[Flüssigkeitsgeschwindigkeit]]*PI()*(0.001)^2/4*1000000*60</f>
        <v>11.780972450961723</v>
      </c>
      <c r="L241" s="15">
        <v>0.25</v>
      </c>
      <c r="M241" s="15">
        <v>22.3</v>
      </c>
      <c r="N241" s="15">
        <v>100390</v>
      </c>
      <c r="P241" s="15">
        <v>1</v>
      </c>
      <c r="R241" t="s">
        <v>204</v>
      </c>
      <c r="S241" s="15" t="s">
        <v>205</v>
      </c>
      <c r="T241">
        <v>1</v>
      </c>
      <c r="U241">
        <v>0.6</v>
      </c>
      <c r="V241">
        <v>1</v>
      </c>
      <c r="W241">
        <v>0.2</v>
      </c>
      <c r="X241" s="15">
        <v>72</v>
      </c>
    </row>
    <row r="242" spans="1:24" x14ac:dyDescent="0.25">
      <c r="B242" s="24"/>
      <c r="C242" s="15" t="s">
        <v>302</v>
      </c>
      <c r="D242" s="15">
        <v>0</v>
      </c>
      <c r="E242" s="15" t="s">
        <v>303</v>
      </c>
      <c r="F242" s="21">
        <v>46108</v>
      </c>
      <c r="G242" s="22">
        <v>0.47013888888888899</v>
      </c>
      <c r="H242" s="23">
        <f>(I242 *Tabelle1[[#This Row],[Umgebungsdruck]]/101325*273.15/(Tabelle1[[#This Row],[Umgebungstemperatur]]+273.15)+2.457)/1.2639</f>
        <v>4.3500437103783742</v>
      </c>
      <c r="I242" s="23">
        <f>Tabelle1[[#This Row],[Gasgeschwindigkeit]]*PI()*(Tabelle1[[#This Row],[Kanalmaße]]/1000)^2/4*1000000*60</f>
        <v>3.2986722862692828</v>
      </c>
      <c r="J242" s="30">
        <v>7.0000000000000007E-2</v>
      </c>
      <c r="K242" s="23">
        <f>Tabelle1[[#This Row],[Flüssigkeitsgeschwindigkeit]]*PI()*(Tabelle1[[#This Row],[Kanalmaße]]/1000)^2/4*1000000*60</f>
        <v>5.2307517682270053</v>
      </c>
      <c r="L242" s="15">
        <v>0.111</v>
      </c>
      <c r="M242" s="15">
        <v>21.9</v>
      </c>
      <c r="N242" s="15">
        <v>100900</v>
      </c>
      <c r="O242" s="15">
        <v>0.7</v>
      </c>
      <c r="P242" s="15">
        <v>1</v>
      </c>
      <c r="R242" t="s">
        <v>204</v>
      </c>
      <c r="S242" s="15" t="s">
        <v>205</v>
      </c>
      <c r="T242">
        <v>1</v>
      </c>
      <c r="U242">
        <v>0.8</v>
      </c>
      <c r="V242">
        <v>1</v>
      </c>
      <c r="W242">
        <v>0.2</v>
      </c>
      <c r="X242" s="15">
        <v>72</v>
      </c>
    </row>
    <row r="243" spans="1:24" x14ac:dyDescent="0.25">
      <c r="B243" s="24"/>
      <c r="C243" s="15" t="s">
        <v>302</v>
      </c>
      <c r="D243" s="15">
        <v>0</v>
      </c>
      <c r="E243" s="15" t="s">
        <v>304</v>
      </c>
      <c r="F243" s="21">
        <v>46108</v>
      </c>
      <c r="G243" s="22">
        <v>0.47152777777777799</v>
      </c>
      <c r="H243" s="23">
        <f>(I243 *Tabelle1[[#This Row],[Umgebungsdruck]]/101325*273.15/(Tabelle1[[#This Row],[Umgebungstemperatur]]+273.15)+2.457)/1.2639</f>
        <v>6.5498707278302808</v>
      </c>
      <c r="I243" s="23">
        <f>Tabelle1[[#This Row],[Gasgeschwindigkeit]]*PI()*(Tabelle1[[#This Row],[Kanalmaße]]/1000)^2/4*1000000*60</f>
        <v>6.314601233715484</v>
      </c>
      <c r="J243" s="30">
        <v>0.13400000000000001</v>
      </c>
      <c r="K243" s="23">
        <f>Tabelle1[[#This Row],[Flüssigkeitsgeschwindigkeit]]*PI()*(Tabelle1[[#This Row],[Kanalmaße]]/1000)^2/4*1000000*60</f>
        <v>7.8696895972424317</v>
      </c>
      <c r="L243" s="15">
        <v>0.16700000000000001</v>
      </c>
      <c r="M243" s="15">
        <v>21.9</v>
      </c>
      <c r="N243" s="15">
        <v>100900</v>
      </c>
      <c r="O243" s="15">
        <v>0.8</v>
      </c>
      <c r="P243" s="15">
        <v>1</v>
      </c>
      <c r="R243" t="s">
        <v>204</v>
      </c>
      <c r="S243" s="15" t="s">
        <v>205</v>
      </c>
      <c r="T243">
        <v>1</v>
      </c>
      <c r="U243">
        <v>0.8</v>
      </c>
      <c r="V243">
        <v>1</v>
      </c>
      <c r="W243">
        <v>0.2</v>
      </c>
      <c r="X243" s="15">
        <v>72</v>
      </c>
    </row>
    <row r="244" spans="1:24" x14ac:dyDescent="0.25">
      <c r="B244" s="24"/>
      <c r="C244" s="15" t="s">
        <v>302</v>
      </c>
      <c r="D244" s="15">
        <v>0</v>
      </c>
      <c r="E244" s="15" t="s">
        <v>305</v>
      </c>
      <c r="F244" s="21">
        <v>46108</v>
      </c>
      <c r="G244" s="22">
        <v>0.47291666666666698</v>
      </c>
      <c r="H244" s="23">
        <f>(I244 *Tabelle1[[#This Row],[Umgebungsdruck]]/101325*273.15/(Tabelle1[[#This Row],[Umgebungstemperatur]]+273.15)+2.457)/1.2639</f>
        <v>8.7496977452821874</v>
      </c>
      <c r="I244" s="23">
        <f>Tabelle1[[#This Row],[Gasgeschwindigkeit]]*PI()*(Tabelle1[[#This Row],[Kanalmaße]]/1000)^2/4*1000000*60</f>
        <v>9.3305301811616843</v>
      </c>
      <c r="J244" s="30">
        <v>0.19800000000000001</v>
      </c>
      <c r="K244" s="23">
        <f>Tabelle1[[#This Row],[Flüssigkeitsgeschwindigkeit]]*PI()*(Tabelle1[[#This Row],[Kanalmaße]]/1000)^2/4*1000000*60</f>
        <v>2.638937829015426</v>
      </c>
      <c r="L244" s="15">
        <v>5.6000000000000001E-2</v>
      </c>
      <c r="M244" s="15">
        <v>21.9</v>
      </c>
      <c r="N244" s="15">
        <v>100900</v>
      </c>
      <c r="O244" s="15">
        <v>0.8</v>
      </c>
      <c r="P244" s="15">
        <v>1</v>
      </c>
      <c r="R244" t="s">
        <v>204</v>
      </c>
      <c r="S244" s="15" t="s">
        <v>205</v>
      </c>
      <c r="T244">
        <v>1</v>
      </c>
      <c r="U244">
        <v>0.8</v>
      </c>
      <c r="V244">
        <v>1</v>
      </c>
      <c r="W244">
        <v>0.2</v>
      </c>
      <c r="X244" s="15">
        <v>72</v>
      </c>
    </row>
    <row r="245" spans="1:24" x14ac:dyDescent="0.25">
      <c r="B245" s="24"/>
      <c r="C245" s="15" t="s">
        <v>302</v>
      </c>
      <c r="D245" s="15">
        <v>0</v>
      </c>
      <c r="E245" s="15" t="s">
        <v>306</v>
      </c>
      <c r="F245" s="21">
        <v>46108</v>
      </c>
      <c r="G245" s="22">
        <v>0.47291666666666698</v>
      </c>
      <c r="H245" s="23">
        <f>(I245 *Tabelle1[[#This Row],[Umgebungsdruck]]/101325*273.15/(Tabelle1[[#This Row],[Umgebungstemperatur]]+273.15)+2.457)/1.2639</f>
        <v>8.7496977452821874</v>
      </c>
      <c r="I245" s="23">
        <f>Tabelle1[[#This Row],[Gasgeschwindigkeit]]*PI()*(Tabelle1[[#This Row],[Kanalmaße]]/1000)^2/4*1000000*60</f>
        <v>9.3305301811616843</v>
      </c>
      <c r="J245" s="30">
        <v>0.19800000000000001</v>
      </c>
      <c r="K245" s="23">
        <f>Tabelle1[[#This Row],[Flüssigkeitsgeschwindigkeit]]*PI()*(Tabelle1[[#This Row],[Kanalmaße]]/1000)^2/4*1000000*60</f>
        <v>7.8696895972424317</v>
      </c>
      <c r="L245" s="15">
        <v>0.16700000000000001</v>
      </c>
      <c r="M245" s="15">
        <v>21.9</v>
      </c>
      <c r="N245" s="15">
        <v>100900</v>
      </c>
      <c r="O245" s="15">
        <v>0.8</v>
      </c>
      <c r="P245" s="15">
        <v>1</v>
      </c>
      <c r="R245" t="s">
        <v>204</v>
      </c>
      <c r="S245" s="15" t="s">
        <v>205</v>
      </c>
      <c r="T245">
        <v>1</v>
      </c>
      <c r="U245">
        <v>0.8</v>
      </c>
      <c r="V245">
        <v>1</v>
      </c>
      <c r="W245">
        <v>0.2</v>
      </c>
      <c r="X245" s="15">
        <v>72</v>
      </c>
    </row>
    <row r="246" spans="1:24" x14ac:dyDescent="0.25">
      <c r="B246" s="24"/>
      <c r="C246" s="15" t="s">
        <v>302</v>
      </c>
      <c r="D246" s="15">
        <v>0</v>
      </c>
      <c r="E246" s="15" t="s">
        <v>307</v>
      </c>
      <c r="F246" s="21">
        <v>46108</v>
      </c>
      <c r="G246" s="22">
        <v>0.47430555555555598</v>
      </c>
      <c r="H246" s="23">
        <f>(I246 *Tabelle1[[#This Row],[Umgebungsdruck]]/101325*273.15/(Tabelle1[[#This Row],[Umgebungstemperatur]]+273.15)+2.457)/1.2639</f>
        <v>8.7496977452821874</v>
      </c>
      <c r="I246" s="23">
        <f>Tabelle1[[#This Row],[Gasgeschwindigkeit]]*PI()*(Tabelle1[[#This Row],[Kanalmaße]]/1000)^2/4*1000000*60</f>
        <v>9.3305301811616843</v>
      </c>
      <c r="J246" s="30">
        <v>0.19800000000000001</v>
      </c>
      <c r="K246" s="23">
        <f>Tabelle1[[#This Row],[Flüssigkeitsgeschwindigkeit]]*PI()*(Tabelle1[[#This Row],[Kanalmaße]]/1000)^2/4*1000000*60</f>
        <v>11.780972450961723</v>
      </c>
      <c r="L246" s="15">
        <v>0.25</v>
      </c>
      <c r="M246" s="15">
        <v>21.9</v>
      </c>
      <c r="N246" s="15">
        <v>100900</v>
      </c>
      <c r="O246" s="15">
        <v>0.8</v>
      </c>
      <c r="P246" s="15">
        <v>1</v>
      </c>
      <c r="R246" t="s">
        <v>204</v>
      </c>
      <c r="S246" s="15" t="s">
        <v>205</v>
      </c>
      <c r="T246">
        <v>1</v>
      </c>
      <c r="U246">
        <v>0.8</v>
      </c>
      <c r="V246">
        <v>1</v>
      </c>
      <c r="W246">
        <v>0.2</v>
      </c>
      <c r="X246" s="15">
        <v>72</v>
      </c>
    </row>
    <row r="247" spans="1:24" x14ac:dyDescent="0.25">
      <c r="B247" s="24"/>
      <c r="C247" s="15" t="s">
        <v>302</v>
      </c>
      <c r="D247" s="15">
        <v>0</v>
      </c>
      <c r="E247" s="15" t="s">
        <v>308</v>
      </c>
      <c r="F247" s="21">
        <v>46108</v>
      </c>
      <c r="G247" s="22">
        <v>0.47708333333333303</v>
      </c>
      <c r="H247" s="23">
        <f>(I247 *Tabelle1[[#This Row],[Umgebungsdruck]]/101325*273.15/(Tabelle1[[#This Row],[Umgebungstemperatur]]+273.15)+2.457)/1.2639</f>
        <v>10.98389705988178</v>
      </c>
      <c r="I247" s="23">
        <f>Tabelle1[[#This Row],[Gasgeschwindigkeit]]*PI()*(Tabelle1[[#This Row],[Kanalmaße]]/1000)^2/4*1000000*60</f>
        <v>12.393583018411734</v>
      </c>
      <c r="J247" s="30">
        <v>0.26300000000000001</v>
      </c>
      <c r="K247" s="23">
        <f>Tabelle1[[#This Row],[Flüssigkeitsgeschwindigkeit]]*PI()*(Tabelle1[[#This Row],[Kanalmaße]]/1000)^2/4*1000000*60</f>
        <v>2.638937829015426</v>
      </c>
      <c r="L247" s="15">
        <v>5.6000000000000001E-2</v>
      </c>
      <c r="M247" s="15">
        <v>21.9</v>
      </c>
      <c r="N247" s="15">
        <v>100900</v>
      </c>
      <c r="O247" s="15">
        <v>0.8</v>
      </c>
      <c r="P247" s="15">
        <v>1</v>
      </c>
      <c r="R247" t="s">
        <v>204</v>
      </c>
      <c r="S247" s="15" t="s">
        <v>205</v>
      </c>
      <c r="T247">
        <v>1</v>
      </c>
      <c r="U247">
        <v>0.8</v>
      </c>
      <c r="V247">
        <v>1</v>
      </c>
      <c r="W247">
        <v>0.2</v>
      </c>
      <c r="X247" s="15">
        <v>72</v>
      </c>
    </row>
    <row r="248" spans="1:24" x14ac:dyDescent="0.25">
      <c r="B248" s="24"/>
      <c r="C248" s="15" t="s">
        <v>302</v>
      </c>
      <c r="D248" s="15">
        <v>0</v>
      </c>
      <c r="E248" s="15" t="s">
        <v>309</v>
      </c>
      <c r="F248" s="21">
        <v>46108</v>
      </c>
      <c r="G248" s="22">
        <v>0.47777777777777802</v>
      </c>
      <c r="H248" s="23">
        <f>(I248 *Tabelle1[[#This Row],[Umgebungsdruck]]/101325*273.15/(Tabelle1[[#This Row],[Umgebungstemperatur]]+273.15)+2.457)/1.2639</f>
        <v>10.98389705988178</v>
      </c>
      <c r="I248" s="23">
        <f>Tabelle1[[#This Row],[Gasgeschwindigkeit]]*PI()*(Tabelle1[[#This Row],[Kanalmaße]]/1000)^2/4*1000000*60</f>
        <v>12.393583018411734</v>
      </c>
      <c r="J248" s="30">
        <v>0.26300000000000001</v>
      </c>
      <c r="K248" s="23">
        <f>Tabelle1[[#This Row],[Flüssigkeitsgeschwindigkeit]]*PI()*(Tabelle1[[#This Row],[Kanalmaße]]/1000)^2/4*1000000*60</f>
        <v>7.8696895972424317</v>
      </c>
      <c r="L248" s="15">
        <v>0.16700000000000001</v>
      </c>
      <c r="M248" s="15">
        <v>21.9</v>
      </c>
      <c r="N248" s="15">
        <v>100900</v>
      </c>
      <c r="O248" s="15">
        <v>0.8</v>
      </c>
      <c r="P248" s="15">
        <v>1</v>
      </c>
      <c r="R248" t="s">
        <v>204</v>
      </c>
      <c r="S248" s="15" t="s">
        <v>205</v>
      </c>
      <c r="T248">
        <v>1</v>
      </c>
      <c r="U248">
        <v>0.8</v>
      </c>
      <c r="V248">
        <v>1</v>
      </c>
      <c r="W248">
        <v>0.2</v>
      </c>
      <c r="X248" s="15">
        <v>72</v>
      </c>
    </row>
    <row r="249" spans="1:24" x14ac:dyDescent="0.25">
      <c r="B249" s="24"/>
      <c r="C249" s="15" t="s">
        <v>302</v>
      </c>
      <c r="D249" s="15">
        <v>0</v>
      </c>
      <c r="E249" s="15" t="s">
        <v>310</v>
      </c>
      <c r="F249" s="21">
        <v>46108</v>
      </c>
      <c r="G249" s="22">
        <v>0.47986111111111102</v>
      </c>
      <c r="H249" s="23">
        <f>(I249 *Tabelle1[[#This Row],[Umgebungsdruck]]/101325*273.15/(Tabelle1[[#This Row],[Umgebungstemperatur]]+273.15)+2.457)/1.2639</f>
        <v>10.98389705988178</v>
      </c>
      <c r="I249" s="23">
        <f>Tabelle1[[#This Row],[Gasgeschwindigkeit]]*PI()*(Tabelle1[[#This Row],[Kanalmaße]]/1000)^2/4*1000000*60</f>
        <v>12.393583018411734</v>
      </c>
      <c r="J249" s="30">
        <v>0.26300000000000001</v>
      </c>
      <c r="K249" s="23">
        <f>Tabelle1[[#This Row],[Flüssigkeitsgeschwindigkeit]]*PI()*(Tabelle1[[#This Row],[Kanalmaße]]/1000)^2/4*1000000*60</f>
        <v>11.780972450961723</v>
      </c>
      <c r="L249" s="15">
        <v>0.25</v>
      </c>
      <c r="M249" s="15">
        <v>21.9</v>
      </c>
      <c r="N249" s="15">
        <v>100900</v>
      </c>
      <c r="O249" s="15">
        <v>0.8</v>
      </c>
      <c r="P249" s="15">
        <v>1</v>
      </c>
      <c r="R249" t="s">
        <v>204</v>
      </c>
      <c r="S249" s="15" t="s">
        <v>205</v>
      </c>
      <c r="T249">
        <v>1</v>
      </c>
      <c r="U249">
        <v>0.8</v>
      </c>
      <c r="V249">
        <v>1</v>
      </c>
      <c r="W249">
        <v>0.2</v>
      </c>
      <c r="X249" s="15">
        <v>72</v>
      </c>
    </row>
    <row r="250" spans="1:24" x14ac:dyDescent="0.25">
      <c r="B250" s="24"/>
      <c r="C250" s="15" t="s">
        <v>311</v>
      </c>
      <c r="D250" s="15">
        <v>0</v>
      </c>
      <c r="E250" s="15" t="s">
        <v>312</v>
      </c>
      <c r="F250" s="21">
        <v>46108</v>
      </c>
      <c r="G250" s="22">
        <v>0.49027777777777798</v>
      </c>
      <c r="H250" s="23">
        <f>(I250 *Tabelle1[[#This Row],[Umgebungsdruck]]/101325*273.15/(Tabelle1[[#This Row],[Umgebungstemperatur]]+273.15)+2.457)/1.2639</f>
        <v>5.0058296965384503</v>
      </c>
      <c r="I250" s="23">
        <f>Tabelle1[[#This Row],[Gasgeschwindigkeit]]*60</f>
        <v>4.2</v>
      </c>
      <c r="J250" s="30">
        <v>7.0000000000000007E-2</v>
      </c>
      <c r="K250" s="23">
        <f>Tabelle1[[#This Row],[Flüssigkeitsgeschwindigkeit]]*60</f>
        <v>6.66</v>
      </c>
      <c r="L250" s="15">
        <v>0.111</v>
      </c>
      <c r="M250" s="15">
        <v>22</v>
      </c>
      <c r="N250" s="15">
        <v>100880</v>
      </c>
      <c r="O250" s="15">
        <v>0.6</v>
      </c>
      <c r="P250" s="15">
        <v>1</v>
      </c>
      <c r="R250" t="s">
        <v>25</v>
      </c>
      <c r="S250" s="15" t="s">
        <v>26</v>
      </c>
      <c r="T250">
        <v>1</v>
      </c>
      <c r="U250">
        <v>0.6</v>
      </c>
      <c r="V250">
        <v>1</v>
      </c>
      <c r="W250">
        <v>0.2</v>
      </c>
      <c r="X250" s="15">
        <v>72</v>
      </c>
    </row>
    <row r="251" spans="1:24" x14ac:dyDescent="0.25">
      <c r="B251" s="24"/>
      <c r="C251" s="15" t="s">
        <v>311</v>
      </c>
      <c r="D251" s="15">
        <v>0</v>
      </c>
      <c r="E251" s="15" t="s">
        <v>313</v>
      </c>
      <c r="F251" s="21">
        <v>46108</v>
      </c>
      <c r="G251" s="22">
        <v>0.49166666666666697</v>
      </c>
      <c r="H251" s="23">
        <f>(I251 *Tabelle1[[#This Row],[Umgebungsdruck]]/101325*273.15/(Tabelle1[[#This Row],[Umgebungstemperatur]]+273.15)+2.457)/1.2639</f>
        <v>7.8052324727652866</v>
      </c>
      <c r="I251" s="23">
        <f>Tabelle1[[#This Row],[Gasgeschwindigkeit]]*60</f>
        <v>8.0400000000000009</v>
      </c>
      <c r="J251" s="30">
        <v>0.13400000000000001</v>
      </c>
      <c r="K251" s="23">
        <f>Tabelle1[[#This Row],[Flüssigkeitsgeschwindigkeit]]*60</f>
        <v>10.020000000000001</v>
      </c>
      <c r="L251" s="15">
        <v>0.16700000000000001</v>
      </c>
      <c r="M251" s="15">
        <v>22</v>
      </c>
      <c r="N251" s="15">
        <v>100880</v>
      </c>
      <c r="O251" s="15">
        <v>0.7</v>
      </c>
      <c r="P251" s="15">
        <v>1</v>
      </c>
      <c r="R251" t="s">
        <v>25</v>
      </c>
      <c r="S251" s="15" t="s">
        <v>26</v>
      </c>
      <c r="T251">
        <v>1</v>
      </c>
      <c r="U251">
        <v>0.6</v>
      </c>
      <c r="V251">
        <v>1</v>
      </c>
      <c r="W251">
        <v>0.2</v>
      </c>
      <c r="X251" s="15">
        <v>72</v>
      </c>
    </row>
    <row r="252" spans="1:24" x14ac:dyDescent="0.25">
      <c r="B252" s="24"/>
      <c r="C252" s="15" t="s">
        <v>311</v>
      </c>
      <c r="D252" s="15">
        <v>0</v>
      </c>
      <c r="E252" s="15" t="s">
        <v>314</v>
      </c>
      <c r="F252" s="21">
        <v>46108</v>
      </c>
      <c r="G252" s="22">
        <v>0.49375000000000002</v>
      </c>
      <c r="H252" s="23">
        <f>(I252 *Tabelle1[[#This Row],[Umgebungsdruck]]/101325*273.15/(Tabelle1[[#This Row],[Umgebungstemperatur]]+273.15)+2.457)/1.2639</f>
        <v>10.604635248992118</v>
      </c>
      <c r="I252" s="23">
        <f>Tabelle1[[#This Row],[Gasgeschwindigkeit]]*60</f>
        <v>11.88</v>
      </c>
      <c r="J252" s="30">
        <v>0.19800000000000001</v>
      </c>
      <c r="K252" s="23">
        <f>Tabelle1[[#This Row],[Flüssigkeitsgeschwindigkeit]]*60</f>
        <v>3.36</v>
      </c>
      <c r="L252" s="15">
        <v>5.6000000000000001E-2</v>
      </c>
      <c r="M252" s="15">
        <v>22</v>
      </c>
      <c r="N252" s="15">
        <v>100880</v>
      </c>
      <c r="O252" s="15">
        <v>0.8</v>
      </c>
      <c r="P252" s="15">
        <v>1</v>
      </c>
      <c r="R252" t="s">
        <v>25</v>
      </c>
      <c r="S252" s="15" t="s">
        <v>26</v>
      </c>
      <c r="T252">
        <v>1</v>
      </c>
      <c r="U252">
        <v>0.6</v>
      </c>
      <c r="V252">
        <v>1</v>
      </c>
      <c r="W252">
        <v>0.2</v>
      </c>
      <c r="X252" s="15">
        <v>72</v>
      </c>
    </row>
    <row r="253" spans="1:24" x14ac:dyDescent="0.25">
      <c r="B253" s="24"/>
      <c r="C253" s="15" t="s">
        <v>311</v>
      </c>
      <c r="D253" s="15">
        <v>0</v>
      </c>
      <c r="E253" s="15" t="s">
        <v>315</v>
      </c>
      <c r="F253" s="21">
        <v>46108</v>
      </c>
      <c r="G253" s="22">
        <v>0.49444444444444402</v>
      </c>
      <c r="H253" s="23">
        <f>(I253 *Tabelle1[[#This Row],[Umgebungsdruck]]/101325*273.15/(Tabelle1[[#This Row],[Umgebungstemperatur]]+273.15)+2.457)/1.2639</f>
        <v>10.604635248992118</v>
      </c>
      <c r="I253" s="23">
        <f>Tabelle1[[#This Row],[Gasgeschwindigkeit]]*60</f>
        <v>11.88</v>
      </c>
      <c r="J253" s="30">
        <v>0.19800000000000001</v>
      </c>
      <c r="K253" s="23">
        <f>Tabelle1[[#This Row],[Flüssigkeitsgeschwindigkeit]]*60</f>
        <v>10.020000000000001</v>
      </c>
      <c r="L253" s="15">
        <v>0.16700000000000001</v>
      </c>
      <c r="M253" s="15">
        <v>22</v>
      </c>
      <c r="N253" s="15">
        <v>100880</v>
      </c>
      <c r="O253" s="15">
        <v>0.8</v>
      </c>
      <c r="P253" s="15">
        <v>1</v>
      </c>
      <c r="R253" t="s">
        <v>25</v>
      </c>
      <c r="S253" s="15" t="s">
        <v>26</v>
      </c>
      <c r="T253">
        <v>1</v>
      </c>
      <c r="U253">
        <v>0.6</v>
      </c>
      <c r="V253">
        <v>1</v>
      </c>
      <c r="W253">
        <v>0.2</v>
      </c>
      <c r="X253" s="15">
        <v>72</v>
      </c>
    </row>
    <row r="254" spans="1:24" x14ac:dyDescent="0.25">
      <c r="B254" s="24"/>
      <c r="C254" s="15" t="s">
        <v>311</v>
      </c>
      <c r="D254" s="15">
        <v>0</v>
      </c>
      <c r="E254" s="15" t="s">
        <v>316</v>
      </c>
      <c r="F254" s="21">
        <v>46108</v>
      </c>
      <c r="G254" s="22">
        <v>0.49583333333333302</v>
      </c>
      <c r="H254" s="23">
        <f>(I254 *Tabelle1[[#This Row],[Umgebungsdruck]]/101325*273.15/(Tabelle1[[#This Row],[Umgebungstemperatur]]+273.15)+2.457)/1.2639</f>
        <v>10.604635248992118</v>
      </c>
      <c r="I254" s="23">
        <f>Tabelle1[[#This Row],[Gasgeschwindigkeit]]*60</f>
        <v>11.88</v>
      </c>
      <c r="J254" s="30">
        <v>0.19800000000000001</v>
      </c>
      <c r="K254" s="23">
        <f>Tabelle1[[#This Row],[Flüssigkeitsgeschwindigkeit]]*60</f>
        <v>15</v>
      </c>
      <c r="L254" s="15">
        <v>0.25</v>
      </c>
      <c r="M254" s="15">
        <v>22</v>
      </c>
      <c r="N254" s="15">
        <v>100880</v>
      </c>
      <c r="O254" s="15">
        <v>0.8</v>
      </c>
      <c r="P254" s="15">
        <v>1</v>
      </c>
      <c r="R254" t="s">
        <v>25</v>
      </c>
      <c r="S254" s="15" t="s">
        <v>26</v>
      </c>
      <c r="T254">
        <v>1</v>
      </c>
      <c r="U254">
        <v>0.6</v>
      </c>
      <c r="V254">
        <v>1</v>
      </c>
      <c r="W254">
        <v>0.2</v>
      </c>
      <c r="X254" s="15">
        <v>72</v>
      </c>
    </row>
    <row r="255" spans="1:24" x14ac:dyDescent="0.25">
      <c r="B255" s="24"/>
      <c r="C255" s="15" t="s">
        <v>311</v>
      </c>
      <c r="D255" s="15">
        <v>0</v>
      </c>
      <c r="E255" s="15" t="s">
        <v>317</v>
      </c>
      <c r="F255" s="21">
        <v>46108</v>
      </c>
      <c r="G255" s="22">
        <v>0.49791666666666701</v>
      </c>
      <c r="H255" s="23">
        <f>(I255 *Tabelle1[[#This Row],[Umgebungsdruck]]/101325*273.15/(Tabelle1[[#This Row],[Umgebungstemperatur]]+273.15)+2.457)/1.2639</f>
        <v>13.447778693597499</v>
      </c>
      <c r="I255" s="23">
        <f>Tabelle1[[#This Row],[Gasgeschwindigkeit]]*60</f>
        <v>15.780000000000001</v>
      </c>
      <c r="J255" s="30">
        <v>0.26300000000000001</v>
      </c>
      <c r="K255" s="23">
        <f>Tabelle1[[#This Row],[Flüssigkeitsgeschwindigkeit]]*60</f>
        <v>3.36</v>
      </c>
      <c r="L255" s="15">
        <v>5.6000000000000001E-2</v>
      </c>
      <c r="M255" s="15">
        <v>22</v>
      </c>
      <c r="N255" s="15">
        <v>100880</v>
      </c>
      <c r="O255" s="15">
        <v>0.8</v>
      </c>
      <c r="P255" s="15">
        <v>1</v>
      </c>
      <c r="R255" t="s">
        <v>25</v>
      </c>
      <c r="S255" s="15" t="s">
        <v>26</v>
      </c>
      <c r="T255">
        <v>1</v>
      </c>
      <c r="U255">
        <v>0.6</v>
      </c>
      <c r="V255">
        <v>1</v>
      </c>
      <c r="W255">
        <v>0.2</v>
      </c>
      <c r="X255" s="15">
        <v>72</v>
      </c>
    </row>
    <row r="256" spans="1:24" x14ac:dyDescent="0.25">
      <c r="B256" s="24"/>
      <c r="C256" s="15" t="s">
        <v>311</v>
      </c>
      <c r="D256" s="15">
        <v>0</v>
      </c>
      <c r="E256" s="15" t="s">
        <v>318</v>
      </c>
      <c r="F256" s="21">
        <v>46108</v>
      </c>
      <c r="G256" s="22">
        <v>0.499305555555556</v>
      </c>
      <c r="H256" s="23">
        <f>(I256 *Tabelle1[[#This Row],[Umgebungsdruck]]/101325*273.15/(Tabelle1[[#This Row],[Umgebungstemperatur]]+273.15)+2.457)/1.2639</f>
        <v>13.447778693597499</v>
      </c>
      <c r="I256" s="23">
        <f>Tabelle1[[#This Row],[Gasgeschwindigkeit]]*60</f>
        <v>15.780000000000001</v>
      </c>
      <c r="J256" s="30">
        <v>0.26300000000000001</v>
      </c>
      <c r="K256" s="23">
        <f>Tabelle1[[#This Row],[Flüssigkeitsgeschwindigkeit]]*60</f>
        <v>10.020000000000001</v>
      </c>
      <c r="L256" s="15">
        <v>0.16700000000000001</v>
      </c>
      <c r="M256" s="15">
        <v>22</v>
      </c>
      <c r="N256" s="15">
        <v>100880</v>
      </c>
      <c r="O256" s="15">
        <v>0.8</v>
      </c>
      <c r="P256" s="15">
        <v>1</v>
      </c>
      <c r="R256" t="s">
        <v>25</v>
      </c>
      <c r="S256" s="15" t="s">
        <v>26</v>
      </c>
      <c r="T256">
        <v>1</v>
      </c>
      <c r="U256">
        <v>0.6</v>
      </c>
      <c r="V256">
        <v>1</v>
      </c>
      <c r="W256">
        <v>0.2</v>
      </c>
      <c r="X256" s="15">
        <v>72</v>
      </c>
    </row>
    <row r="257" spans="1:24" x14ac:dyDescent="0.25">
      <c r="B257" s="24"/>
      <c r="C257" s="15" t="s">
        <v>311</v>
      </c>
      <c r="D257" s="15">
        <v>0</v>
      </c>
      <c r="E257" s="15" t="s">
        <v>319</v>
      </c>
      <c r="F257" s="21">
        <v>46108</v>
      </c>
      <c r="G257" s="22">
        <v>0.5</v>
      </c>
      <c r="H257" s="23">
        <f>(I257 *Tabelle1[[#This Row],[Umgebungsdruck]]/101325*273.15/(Tabelle1[[#This Row],[Umgebungstemperatur]]+273.15)+2.457)/1.2639</f>
        <v>13.447778693597499</v>
      </c>
      <c r="I257" s="23">
        <f>Tabelle1[[#This Row],[Gasgeschwindigkeit]]*60</f>
        <v>15.780000000000001</v>
      </c>
      <c r="J257" s="30">
        <v>0.26300000000000001</v>
      </c>
      <c r="K257" s="23">
        <f>Tabelle1[[#This Row],[Flüssigkeitsgeschwindigkeit]]*60</f>
        <v>15</v>
      </c>
      <c r="L257" s="15">
        <v>0.25</v>
      </c>
      <c r="M257" s="15">
        <v>22</v>
      </c>
      <c r="N257" s="15">
        <v>100880</v>
      </c>
      <c r="O257" s="15">
        <v>0.8</v>
      </c>
      <c r="P257" s="15">
        <v>1</v>
      </c>
      <c r="R257" t="s">
        <v>25</v>
      </c>
      <c r="S257" s="15" t="s">
        <v>26</v>
      </c>
      <c r="T257">
        <v>1</v>
      </c>
      <c r="U257">
        <v>0.6</v>
      </c>
      <c r="V257">
        <v>1</v>
      </c>
      <c r="W257">
        <v>0.2</v>
      </c>
      <c r="X257" s="15">
        <v>72</v>
      </c>
    </row>
    <row r="258" spans="1:24" x14ac:dyDescent="0.25">
      <c r="B258" s="24"/>
      <c r="C258" s="15" t="s">
        <v>320</v>
      </c>
      <c r="D258" s="15">
        <v>0</v>
      </c>
      <c r="E258" s="15" t="s">
        <v>321</v>
      </c>
      <c r="F258" s="21">
        <v>46108</v>
      </c>
      <c r="G258" s="22">
        <v>0.51041666666666696</v>
      </c>
      <c r="H258" s="23">
        <f>(I258 *Tabelle1[[#This Row],[Umgebungsdruck]]/101325*273.15/(Tabelle1[[#This Row],[Umgebungstemperatur]]+273.15)+2.457)/1.2639</f>
        <v>7.3499768819896234</v>
      </c>
      <c r="I258" s="23">
        <f>Tabelle1[[#This Row],[Gasgeschwindigkeit]]*PI()*(Tabelle1[[#This Row],[Kanalmaße]]/1000)^2/4*1000000*60</f>
        <v>7.4220126441058873</v>
      </c>
      <c r="J258" s="30">
        <v>7.0000000000000007E-2</v>
      </c>
      <c r="K258" s="23">
        <f>Tabelle1[[#This Row],[Flüssigkeitsgeschwindigkeit]]*PI()*(Tabelle1[[#This Row],[Kanalmaße]]/1000)^2/4*1000000*60</f>
        <v>11.769191478510763</v>
      </c>
      <c r="L258" s="15">
        <v>0.111</v>
      </c>
      <c r="M258" s="15">
        <v>22.2</v>
      </c>
      <c r="N258" s="15">
        <v>100860</v>
      </c>
      <c r="O258" s="15">
        <v>0.6</v>
      </c>
      <c r="P258" s="15">
        <v>1</v>
      </c>
      <c r="R258" t="s">
        <v>204</v>
      </c>
      <c r="S258" s="15" t="s">
        <v>205</v>
      </c>
      <c r="T258">
        <v>1.5</v>
      </c>
      <c r="U258">
        <v>1.1499999999999999</v>
      </c>
      <c r="V258">
        <v>1</v>
      </c>
      <c r="W258">
        <v>0.2</v>
      </c>
      <c r="X258" s="15">
        <v>72</v>
      </c>
    </row>
    <row r="259" spans="1:24" x14ac:dyDescent="0.25">
      <c r="B259" s="24"/>
      <c r="C259" s="15" t="s">
        <v>320</v>
      </c>
      <c r="D259" s="15">
        <v>0</v>
      </c>
      <c r="E259" s="15" t="s">
        <v>322</v>
      </c>
      <c r="F259" s="21">
        <v>46108</v>
      </c>
      <c r="G259" s="22">
        <v>0.51249999999999996</v>
      </c>
      <c r="H259" s="23">
        <f>(I259 *Tabelle1[[#This Row],[Umgebungsdruck]]/101325*273.15/(Tabelle1[[#This Row],[Umgebungstemperatur]]+273.15)+2.457)/1.2639</f>
        <v>12.292599942057528</v>
      </c>
      <c r="I259" s="23">
        <f>Tabelle1[[#This Row],[Gasgeschwindigkeit]]*PI()*(Tabelle1[[#This Row],[Kanalmaße]]/1000)^2/4*1000000*60</f>
        <v>14.207852775859841</v>
      </c>
      <c r="J259" s="30">
        <v>0.13400000000000001</v>
      </c>
      <c r="K259" s="23">
        <f>Tabelle1[[#This Row],[Flüssigkeitsgeschwindigkeit]]*PI()*(Tabelle1[[#This Row],[Kanalmaße]]/1000)^2/4*1000000*60</f>
        <v>17.706801593795472</v>
      </c>
      <c r="L259" s="15">
        <v>0.16700000000000001</v>
      </c>
      <c r="M259" s="15">
        <v>22.2</v>
      </c>
      <c r="N259" s="15">
        <v>100860</v>
      </c>
      <c r="O259" s="15">
        <v>0.7</v>
      </c>
      <c r="P259" s="15">
        <v>1</v>
      </c>
      <c r="R259" t="s">
        <v>204</v>
      </c>
      <c r="S259" s="15" t="s">
        <v>205</v>
      </c>
      <c r="T259">
        <v>1.5</v>
      </c>
      <c r="U259">
        <v>1.1499999999999999</v>
      </c>
      <c r="V259">
        <v>1</v>
      </c>
      <c r="W259">
        <v>0.2</v>
      </c>
      <c r="X259" s="15">
        <v>72</v>
      </c>
    </row>
    <row r="260" spans="1:24" x14ac:dyDescent="0.25">
      <c r="B260" s="24"/>
      <c r="C260" s="15" t="s">
        <v>320</v>
      </c>
      <c r="D260" s="15">
        <v>0</v>
      </c>
      <c r="E260" s="15" t="s">
        <v>323</v>
      </c>
      <c r="F260" s="21">
        <v>46108</v>
      </c>
      <c r="G260" s="22">
        <v>0.51666666666666705</v>
      </c>
      <c r="H260" s="23">
        <f>(I260 *Tabelle1[[#This Row],[Umgebungsdruck]]/101325*273.15/(Tabelle1[[#This Row],[Umgebungstemperatur]]+273.15))/1.0853</f>
        <v>17.807609280739282</v>
      </c>
      <c r="I260" s="23">
        <f>Tabelle1[[#This Row],[Gasgeschwindigkeit]]*PI()*(Tabelle1[[#This Row],[Kanalmaße]]/1000)^2/4*1000000*60</f>
        <v>20.993692907613795</v>
      </c>
      <c r="J260" s="30">
        <v>0.19800000000000001</v>
      </c>
      <c r="K260" s="23">
        <f>Tabelle1[[#This Row],[Flüssigkeitsgeschwindigkeit]]*PI()*(Tabelle1[[#This Row],[Kanalmaße]]/1000)^2/4*1000000*60</f>
        <v>5.9376101152847083</v>
      </c>
      <c r="L260" s="15">
        <v>5.6000000000000001E-2</v>
      </c>
      <c r="M260" s="15">
        <v>22.2</v>
      </c>
      <c r="N260" s="15">
        <v>100860</v>
      </c>
      <c r="O260" s="15">
        <v>0.9</v>
      </c>
      <c r="P260" s="15">
        <v>1</v>
      </c>
      <c r="R260" t="s">
        <v>204</v>
      </c>
      <c r="S260" s="15" t="s">
        <v>205</v>
      </c>
      <c r="T260">
        <v>1.5</v>
      </c>
      <c r="U260">
        <v>1.1499999999999999</v>
      </c>
      <c r="V260">
        <v>2</v>
      </c>
      <c r="W260">
        <v>0.2</v>
      </c>
      <c r="X260" s="15">
        <v>72</v>
      </c>
    </row>
    <row r="261" spans="1:24" x14ac:dyDescent="0.25">
      <c r="B261" s="24"/>
      <c r="C261" s="15" t="s">
        <v>320</v>
      </c>
      <c r="D261" s="15">
        <v>0</v>
      </c>
      <c r="E261" s="15" t="s">
        <v>324</v>
      </c>
      <c r="F261" s="21">
        <v>46108</v>
      </c>
      <c r="G261" s="22">
        <v>0.51805555555555605</v>
      </c>
      <c r="H261" s="23">
        <f>(I261 *Tabelle1[[#This Row],[Umgebungsdruck]]/101325*273.15/(Tabelle1[[#This Row],[Umgebungstemperatur]]+273.15))/1.0853</f>
        <v>17.807609280739282</v>
      </c>
      <c r="I261" s="23">
        <f>Tabelle1[[#This Row],[Gasgeschwindigkeit]]*PI()*(Tabelle1[[#This Row],[Kanalmaße]]/1000)^2/4*1000000*60</f>
        <v>20.993692907613795</v>
      </c>
      <c r="J261" s="30">
        <v>0.19800000000000001</v>
      </c>
      <c r="K261" s="23">
        <f>Tabelle1[[#This Row],[Flüssigkeitsgeschwindigkeit]]*PI()*(Tabelle1[[#This Row],[Kanalmaße]]/1000)^2/4*1000000*60</f>
        <v>11.769191478510763</v>
      </c>
      <c r="L261" s="15">
        <v>0.111</v>
      </c>
      <c r="M261" s="15">
        <v>22.2</v>
      </c>
      <c r="N261" s="15">
        <v>100860</v>
      </c>
      <c r="O261" s="15">
        <v>0.9</v>
      </c>
      <c r="P261" s="15">
        <v>1</v>
      </c>
      <c r="R261" t="s">
        <v>204</v>
      </c>
      <c r="S261" s="15" t="s">
        <v>205</v>
      </c>
      <c r="T261">
        <v>1.5</v>
      </c>
      <c r="U261">
        <v>1.1499999999999999</v>
      </c>
      <c r="V261">
        <v>2</v>
      </c>
      <c r="W261">
        <v>0.2</v>
      </c>
      <c r="X261" s="15">
        <v>72</v>
      </c>
    </row>
    <row r="262" spans="1:24" x14ac:dyDescent="0.25">
      <c r="B262" s="24"/>
      <c r="C262" s="15" t="s">
        <v>320</v>
      </c>
      <c r="D262" s="15">
        <v>0</v>
      </c>
      <c r="E262" s="15" t="s">
        <v>325</v>
      </c>
      <c r="F262" s="21">
        <v>46108</v>
      </c>
      <c r="G262" s="22">
        <v>0.51944444444444504</v>
      </c>
      <c r="H262" s="23">
        <f>(I262 *Tabelle1[[#This Row],[Umgebungsdruck]]/101325*273.15/(Tabelle1[[#This Row],[Umgebungstemperatur]]+273.15))/1.0853</f>
        <v>17.807609280739282</v>
      </c>
      <c r="I262" s="23">
        <f>Tabelle1[[#This Row],[Gasgeschwindigkeit]]*PI()*(Tabelle1[[#This Row],[Kanalmaße]]/1000)^2/4*1000000*60</f>
        <v>20.993692907613795</v>
      </c>
      <c r="J262" s="30">
        <v>0.19800000000000001</v>
      </c>
      <c r="K262" s="23">
        <f>Tabelle1[[#This Row],[Flüssigkeitsgeschwindigkeit]]*PI()*(Tabelle1[[#This Row],[Kanalmaße]]/1000)^2/4*1000000*60</f>
        <v>17.706801593795472</v>
      </c>
      <c r="L262" s="15">
        <v>0.16700000000000001</v>
      </c>
      <c r="M262" s="15">
        <v>22.2</v>
      </c>
      <c r="N262" s="15">
        <v>100860</v>
      </c>
      <c r="O262" s="15">
        <v>0.9</v>
      </c>
      <c r="P262" s="15">
        <v>1</v>
      </c>
      <c r="R262" t="s">
        <v>204</v>
      </c>
      <c r="S262" s="15" t="s">
        <v>205</v>
      </c>
      <c r="T262">
        <v>1.5</v>
      </c>
      <c r="U262">
        <v>1.1499999999999999</v>
      </c>
      <c r="V262">
        <v>2</v>
      </c>
      <c r="W262">
        <v>0.2</v>
      </c>
      <c r="X262" s="15">
        <v>72</v>
      </c>
    </row>
    <row r="263" spans="1:24" x14ac:dyDescent="0.25">
      <c r="B263" s="24"/>
      <c r="C263" s="15" t="s">
        <v>320</v>
      </c>
      <c r="D263" s="15">
        <v>0</v>
      </c>
      <c r="E263" s="15" t="s">
        <v>326</v>
      </c>
      <c r="F263" s="21">
        <v>46108</v>
      </c>
      <c r="G263" s="22">
        <v>0.52083333333333304</v>
      </c>
      <c r="H263" s="23">
        <f>(I263 *Tabelle1[[#This Row],[Umgebungsdruck]]/101325*273.15/(Tabelle1[[#This Row],[Umgebungstemperatur]]+273.15))/1.0853</f>
        <v>23.653541620375911</v>
      </c>
      <c r="I263" s="23">
        <f>Tabelle1[[#This Row],[Gasgeschwindigkeit]]*PI()*(Tabelle1[[#This Row],[Kanalmaße]]/1000)^2/4*1000000*60</f>
        <v>27.885561791426404</v>
      </c>
      <c r="J263" s="30">
        <v>0.26300000000000001</v>
      </c>
      <c r="K263" s="23">
        <f>Tabelle1[[#This Row],[Flüssigkeitsgeschwindigkeit]]*PI()*(Tabelle1[[#This Row],[Kanalmaße]]/1000)^2/4*1000000*60</f>
        <v>5.9376101152847083</v>
      </c>
      <c r="L263" s="15">
        <v>5.6000000000000001E-2</v>
      </c>
      <c r="M263" s="15">
        <v>22.2</v>
      </c>
      <c r="N263" s="15">
        <v>100860</v>
      </c>
      <c r="O263" s="15">
        <v>1</v>
      </c>
      <c r="P263" s="15">
        <v>1</v>
      </c>
      <c r="R263" t="s">
        <v>204</v>
      </c>
      <c r="S263" s="15" t="s">
        <v>205</v>
      </c>
      <c r="T263">
        <v>1.5</v>
      </c>
      <c r="U263">
        <v>1.1499999999999999</v>
      </c>
      <c r="V263">
        <v>2</v>
      </c>
      <c r="W263">
        <v>0.2</v>
      </c>
      <c r="X263" s="15">
        <v>72</v>
      </c>
    </row>
    <row r="264" spans="1:24" x14ac:dyDescent="0.25">
      <c r="B264" s="24"/>
      <c r="C264" s="15" t="s">
        <v>320</v>
      </c>
      <c r="D264" s="15">
        <v>0</v>
      </c>
      <c r="E264" s="15" t="s">
        <v>327</v>
      </c>
      <c r="F264" s="21">
        <v>46108</v>
      </c>
      <c r="G264" s="22">
        <v>0.52361111111111103</v>
      </c>
      <c r="H264" s="23">
        <f>(I264 *Tabelle1[[#This Row],[Umgebungsdruck]]/101325*273.15/(Tabelle1[[#This Row],[Umgebungstemperatur]]+273.15))/1.0853</f>
        <v>23.653541620375911</v>
      </c>
      <c r="I264" s="23">
        <f>Tabelle1[[#This Row],[Gasgeschwindigkeit]]*PI()*(Tabelle1[[#This Row],[Kanalmaße]]/1000)^2/4*1000000*60</f>
        <v>27.885561791426404</v>
      </c>
      <c r="J264" s="30">
        <v>0.26300000000000001</v>
      </c>
      <c r="K264" s="23">
        <f>Tabelle1[[#This Row],[Flüssigkeitsgeschwindigkeit]]*PI()*(Tabelle1[[#This Row],[Kanalmaße]]/1000)^2/4*1000000*60</f>
        <v>11.769191478510763</v>
      </c>
      <c r="L264" s="15">
        <v>0.111</v>
      </c>
      <c r="M264" s="15">
        <v>22.2</v>
      </c>
      <c r="N264" s="15">
        <v>100860</v>
      </c>
      <c r="O264" s="15">
        <v>1</v>
      </c>
      <c r="P264" s="15">
        <v>1</v>
      </c>
      <c r="R264" t="s">
        <v>204</v>
      </c>
      <c r="S264" s="15" t="s">
        <v>205</v>
      </c>
      <c r="T264">
        <v>1.5</v>
      </c>
      <c r="U264">
        <v>1.1499999999999999</v>
      </c>
      <c r="V264">
        <v>2</v>
      </c>
      <c r="W264">
        <v>0.2</v>
      </c>
      <c r="X264" s="15">
        <v>72</v>
      </c>
    </row>
    <row r="265" spans="1:24" x14ac:dyDescent="0.25">
      <c r="B265" s="24"/>
      <c r="C265" s="15" t="s">
        <v>320</v>
      </c>
      <c r="D265" s="15">
        <v>0</v>
      </c>
      <c r="E265" s="15" t="s">
        <v>328</v>
      </c>
      <c r="F265" s="21">
        <v>46108</v>
      </c>
      <c r="G265" s="22">
        <v>0.52430555555555602</v>
      </c>
      <c r="H265" s="23">
        <f>(I265 *Tabelle1[[#This Row],[Umgebungsdruck]]/101325*273.15/(Tabelle1[[#This Row],[Umgebungstemperatur]]+273.15))/1.0853</f>
        <v>23.653541620375911</v>
      </c>
      <c r="I265" s="23">
        <f>Tabelle1[[#This Row],[Gasgeschwindigkeit]]*PI()*(Tabelle1[[#This Row],[Kanalmaße]]/1000)^2/4*1000000*60</f>
        <v>27.885561791426404</v>
      </c>
      <c r="J265" s="30">
        <v>0.26300000000000001</v>
      </c>
      <c r="K265" s="23">
        <f>Tabelle1[[#This Row],[Flüssigkeitsgeschwindigkeit]]*PI()*(Tabelle1[[#This Row],[Kanalmaße]]/1000)^2/4*1000000*60</f>
        <v>17.706801593795472</v>
      </c>
      <c r="L265" s="15">
        <v>0.16700000000000001</v>
      </c>
      <c r="M265" s="15">
        <v>22.2</v>
      </c>
      <c r="N265" s="15">
        <v>100860</v>
      </c>
      <c r="O265" s="15">
        <v>1</v>
      </c>
      <c r="P265" s="15">
        <v>1</v>
      </c>
      <c r="R265" t="s">
        <v>204</v>
      </c>
      <c r="S265" s="15" t="s">
        <v>205</v>
      </c>
      <c r="T265">
        <v>1.5</v>
      </c>
      <c r="U265">
        <v>1.1499999999999999</v>
      </c>
      <c r="V265">
        <v>2</v>
      </c>
      <c r="W265">
        <v>0.2</v>
      </c>
      <c r="X265" s="15">
        <v>72</v>
      </c>
    </row>
    <row r="266" spans="1:24" x14ac:dyDescent="0.25">
      <c r="A266" s="14" t="s">
        <v>295</v>
      </c>
      <c r="B266" s="24"/>
      <c r="C266" s="15" t="s">
        <v>329</v>
      </c>
      <c r="D266" s="15">
        <v>453</v>
      </c>
      <c r="E266" s="15" t="s">
        <v>330</v>
      </c>
      <c r="F266" s="21">
        <v>46105</v>
      </c>
      <c r="G266" s="22">
        <v>0.64861111111111103</v>
      </c>
      <c r="H266" s="23">
        <v>6.0631871671564399</v>
      </c>
      <c r="I266" s="23">
        <f>(Tabelle1[[#This Row],[eingestellter 
Gasstrom]]*1.046)*101325/Tabelle1[[#This Row],[Umgebungsdruck]]*(Tabelle1[[#This Row],[Umgebungstemperatur]]+273.15)/273.15</f>
        <v>6.9265134910968591</v>
      </c>
      <c r="J266" s="35">
        <f>(Tabelle1[[#This Row],[Realer Gasstrom]] / 60) / ((PI() * (Tabelle1[[#This Row],[Kanalmaße]]/2)^2))</f>
        <v>0.14698518140010211</v>
      </c>
      <c r="K266" s="23">
        <f>Tabelle1[[#This Row],[Flüssigkeitsgeschwindigkeit]]*PI()*(0.001)^2/4*1000000*60</f>
        <v>5.2307517682270053</v>
      </c>
      <c r="L266" s="15">
        <v>0.111</v>
      </c>
      <c r="M266" s="48">
        <v>22.3</v>
      </c>
      <c r="N266" s="49">
        <v>100350</v>
      </c>
      <c r="P266" s="15">
        <v>3</v>
      </c>
      <c r="R266" t="s">
        <v>204</v>
      </c>
      <c r="S266" s="15" t="s">
        <v>205</v>
      </c>
      <c r="T266">
        <v>1</v>
      </c>
      <c r="U266">
        <v>0.6</v>
      </c>
      <c r="V266">
        <v>1</v>
      </c>
      <c r="W266">
        <v>0.2</v>
      </c>
      <c r="X266" s="15">
        <v>72</v>
      </c>
    </row>
    <row r="267" spans="1:24" x14ac:dyDescent="0.25">
      <c r="A267" s="14"/>
      <c r="B267" s="24"/>
      <c r="C267" s="15" t="s">
        <v>329</v>
      </c>
      <c r="D267" s="15">
        <v>453</v>
      </c>
      <c r="E267" s="15" t="s">
        <v>331</v>
      </c>
      <c r="F267" s="21">
        <v>46105</v>
      </c>
      <c r="G267" s="22">
        <v>0.65347222222222201</v>
      </c>
      <c r="H267" s="23">
        <v>8.2679825006678804</v>
      </c>
      <c r="I267" s="23">
        <f>(Tabelle1[[#This Row],[eingestellter 
Gasstrom]]*1.046)*101325/Tabelle1[[#This Row],[Umgebungsdruck]]*(Tabelle1[[#This Row],[Umgebungstemperatur]]+273.15)/273.15</f>
        <v>9.4452456696775453</v>
      </c>
      <c r="J267" s="35">
        <f>(Tabelle1[[#This Row],[Realer Gasstrom]] / 60) / ((PI() * (Tabelle1[[#This Row],[Kanalmaße]]/2)^2))</f>
        <v>0.20043433827286675</v>
      </c>
      <c r="K267" s="23">
        <f>Tabelle1[[#This Row],[Flüssigkeitsgeschwindigkeit]]*PI()*(0.001)^2/4*1000000*60</f>
        <v>2.638937829015426</v>
      </c>
      <c r="L267" s="15">
        <v>5.6000000000000001E-2</v>
      </c>
      <c r="M267" s="48">
        <v>22.3</v>
      </c>
      <c r="N267" s="49">
        <v>100350</v>
      </c>
      <c r="P267" s="15">
        <v>3</v>
      </c>
      <c r="R267" t="s">
        <v>204</v>
      </c>
      <c r="S267" s="15" t="s">
        <v>205</v>
      </c>
      <c r="T267">
        <v>1</v>
      </c>
      <c r="U267">
        <v>0.6</v>
      </c>
      <c r="V267">
        <v>1</v>
      </c>
      <c r="W267">
        <v>0.2</v>
      </c>
      <c r="X267" s="15">
        <v>72</v>
      </c>
    </row>
    <row r="268" spans="1:24" x14ac:dyDescent="0.25">
      <c r="A268" s="14"/>
      <c r="B268" s="24"/>
      <c r="C268" s="15" t="s">
        <v>329</v>
      </c>
      <c r="D268" s="15">
        <v>453</v>
      </c>
      <c r="E268" s="15" t="s">
        <v>332</v>
      </c>
      <c r="F268" s="21">
        <v>46105</v>
      </c>
      <c r="G268" s="22">
        <v>0.65416666666666701</v>
      </c>
      <c r="H268" s="23">
        <v>8.2679825006678804</v>
      </c>
      <c r="I268" s="23">
        <f>(Tabelle1[[#This Row],[eingestellter 
Gasstrom]]*1.046)*101325/Tabelle1[[#This Row],[Umgebungsdruck]]*(Tabelle1[[#This Row],[Umgebungstemperatur]]+273.15)/273.15</f>
        <v>9.4452456696775453</v>
      </c>
      <c r="J268" s="35">
        <f>(Tabelle1[[#This Row],[Realer Gasstrom]] / 60) / ((PI() * (Tabelle1[[#This Row],[Kanalmaße]]/2)^2))</f>
        <v>0.20043433827286675</v>
      </c>
      <c r="K268" s="23">
        <f>Tabelle1[[#This Row],[Flüssigkeitsgeschwindigkeit]]*PI()*(0.001)^2/4*1000000*60</f>
        <v>11.780972450961723</v>
      </c>
      <c r="L268" s="15">
        <v>0.25</v>
      </c>
      <c r="M268" s="48">
        <v>22.3</v>
      </c>
      <c r="N268" s="49">
        <v>100350</v>
      </c>
      <c r="P268" s="15">
        <v>3</v>
      </c>
      <c r="R268" t="s">
        <v>204</v>
      </c>
      <c r="S268" s="15" t="s">
        <v>205</v>
      </c>
      <c r="T268">
        <v>1</v>
      </c>
      <c r="U268">
        <v>0.6</v>
      </c>
      <c r="V268">
        <v>1</v>
      </c>
      <c r="W268">
        <v>0.2</v>
      </c>
      <c r="X268" s="15">
        <v>72</v>
      </c>
    </row>
    <row r="269" spans="1:24" x14ac:dyDescent="0.25">
      <c r="A269" s="14"/>
      <c r="B269" s="24"/>
      <c r="C269" s="15" t="s">
        <v>329</v>
      </c>
      <c r="D269" s="15">
        <v>453</v>
      </c>
      <c r="E269" s="15" t="s">
        <v>333</v>
      </c>
      <c r="F269" s="21">
        <v>46105</v>
      </c>
      <c r="G269" s="22">
        <v>0.656944444444444</v>
      </c>
      <c r="H269" s="23">
        <v>10.472777834179301</v>
      </c>
      <c r="I269" s="23">
        <f>(Tabelle1[[#This Row],[eingestellter 
Gasstrom]]*1.046)*101325/Tabelle1[[#This Row],[Umgebungsdruck]]*(Tabelle1[[#This Row],[Umgebungstemperatur]]+273.15)/273.15</f>
        <v>11.963977848258208</v>
      </c>
      <c r="J269" s="35">
        <f>(Tabelle1[[#This Row],[Realer Gasstrom]] / 60) / ((PI() * (Tabelle1[[#This Row],[Kanalmaße]]/2)^2))</f>
        <v>0.25388349514563091</v>
      </c>
      <c r="K269" s="23">
        <f>Tabelle1[[#This Row],[Flüssigkeitsgeschwindigkeit]]*PI()*(0.001)^2/4*1000000*60</f>
        <v>2.638937829015426</v>
      </c>
      <c r="L269" s="15">
        <v>5.6000000000000001E-2</v>
      </c>
      <c r="M269" s="48">
        <v>22.3</v>
      </c>
      <c r="N269" s="49">
        <v>100350</v>
      </c>
      <c r="P269" s="15">
        <v>3</v>
      </c>
      <c r="R269" t="s">
        <v>204</v>
      </c>
      <c r="S269" s="15" t="s">
        <v>205</v>
      </c>
      <c r="T269">
        <v>1</v>
      </c>
      <c r="U269">
        <v>0.6</v>
      </c>
      <c r="V269">
        <v>1</v>
      </c>
      <c r="W269">
        <v>0.2</v>
      </c>
      <c r="X269" s="15">
        <v>72</v>
      </c>
    </row>
    <row r="270" spans="1:24" x14ac:dyDescent="0.25">
      <c r="A270" s="14"/>
      <c r="B270" s="24"/>
      <c r="C270" s="15" t="s">
        <v>329</v>
      </c>
      <c r="D270" s="15">
        <v>453</v>
      </c>
      <c r="E270" s="15" t="s">
        <v>334</v>
      </c>
      <c r="F270" s="21">
        <v>46105</v>
      </c>
      <c r="G270" s="22">
        <v>0.65833333333333299</v>
      </c>
      <c r="H270" s="23">
        <v>10.472777834179301</v>
      </c>
      <c r="I270" s="23">
        <f>(Tabelle1[[#This Row],[eingestellter 
Gasstrom]]*1.046)*101325/Tabelle1[[#This Row],[Umgebungsdruck]]*(Tabelle1[[#This Row],[Umgebungstemperatur]]+273.15)/273.15</f>
        <v>11.963977848258208</v>
      </c>
      <c r="J270" s="35">
        <f>(Tabelle1[[#This Row],[Realer Gasstrom]] / 60) / ((PI() * (Tabelle1[[#This Row],[Kanalmaße]]/2)^2))</f>
        <v>0.25388349514563091</v>
      </c>
      <c r="K270" s="23">
        <f>Tabelle1[[#This Row],[Flüssigkeitsgeschwindigkeit]]*PI()*(0.001)^2/4*1000000*60</f>
        <v>11.780972450961723</v>
      </c>
      <c r="L270" s="15">
        <v>0.25</v>
      </c>
      <c r="M270" s="48">
        <v>22.3</v>
      </c>
      <c r="N270" s="49">
        <v>100350</v>
      </c>
      <c r="P270" s="15">
        <v>3</v>
      </c>
      <c r="R270" t="s">
        <v>204</v>
      </c>
      <c r="S270" s="15" t="s">
        <v>205</v>
      </c>
      <c r="T270">
        <v>1</v>
      </c>
      <c r="U270">
        <v>0.6</v>
      </c>
      <c r="V270">
        <v>1</v>
      </c>
      <c r="W270">
        <v>0.2</v>
      </c>
      <c r="X270" s="15">
        <v>72</v>
      </c>
    </row>
    <row r="271" spans="1:24" x14ac:dyDescent="0.25">
      <c r="B271" s="24"/>
      <c r="C271" s="15" t="s">
        <v>335</v>
      </c>
      <c r="D271" s="15">
        <v>455</v>
      </c>
      <c r="E271" s="15" t="s">
        <v>336</v>
      </c>
      <c r="F271" s="21">
        <v>46108</v>
      </c>
      <c r="G271" s="22">
        <v>0.64097222222222205</v>
      </c>
      <c r="H271" s="23">
        <f>(I271 *Tabelle1[[#This Row],[Umgebungsdruck]]/101325*273.15/(Tabelle1[[#This Row],[Umgebungstemperatur]]+273.15))/1.046</f>
        <v>2.9017414884527475</v>
      </c>
      <c r="I271" s="23">
        <f>Tabelle1[[#This Row],[Gasgeschwindigkeit]]*PI()*(Tabelle1[[#This Row],[Kanalmaße]]/1000)^2/4*1000000*60</f>
        <v>3.2986722862692828</v>
      </c>
      <c r="J271" s="30">
        <v>7.0000000000000007E-2</v>
      </c>
      <c r="K271" s="23">
        <f>Tabelle1[[#This Row],[Flüssigkeitsgeschwindigkeit]]*PI()*(Tabelle1[[#This Row],[Kanalmaße]]/1000)^2/4*1000000*60</f>
        <v>5.2307517682270053</v>
      </c>
      <c r="L271" s="15">
        <v>0.111</v>
      </c>
      <c r="M271" s="15">
        <v>22.2</v>
      </c>
      <c r="N271" s="15">
        <v>100810</v>
      </c>
      <c r="O271" s="15">
        <v>0.6</v>
      </c>
      <c r="P271" s="15">
        <v>3</v>
      </c>
      <c r="R271" t="s">
        <v>204</v>
      </c>
      <c r="S271" s="15" t="s">
        <v>205</v>
      </c>
      <c r="T271">
        <v>1</v>
      </c>
      <c r="U271">
        <v>0.8</v>
      </c>
      <c r="V271">
        <v>1</v>
      </c>
      <c r="W271">
        <v>0.2</v>
      </c>
      <c r="X271" s="15">
        <v>72</v>
      </c>
    </row>
    <row r="272" spans="1:24" x14ac:dyDescent="0.25">
      <c r="B272" s="24"/>
      <c r="C272" s="15" t="s">
        <v>335</v>
      </c>
      <c r="D272" s="15">
        <v>455</v>
      </c>
      <c r="E272" s="15" t="s">
        <v>337</v>
      </c>
      <c r="F272" s="21">
        <v>46108</v>
      </c>
      <c r="G272" s="22">
        <v>0.64236111111111105</v>
      </c>
      <c r="H272" s="23">
        <f>(I272 *Tabelle1[[#This Row],[Umgebungsdruck]]/101325*273.15/(Tabelle1[[#This Row],[Umgebungstemperatur]]+273.15))/1.046</f>
        <v>5.554762277895259</v>
      </c>
      <c r="I272" s="23">
        <f>Tabelle1[[#This Row],[Gasgeschwindigkeit]]*PI()*(Tabelle1[[#This Row],[Kanalmaße]]/1000)^2/4*1000000*60</f>
        <v>6.314601233715484</v>
      </c>
      <c r="J272" s="30">
        <v>0.13400000000000001</v>
      </c>
      <c r="K272" s="23">
        <f>Tabelle1[[#This Row],[Flüssigkeitsgeschwindigkeit]]*PI()*(Tabelle1[[#This Row],[Kanalmaße]]/1000)^2/4*1000000*60</f>
        <v>7.8696895972424317</v>
      </c>
      <c r="L272" s="15">
        <v>0.16700000000000001</v>
      </c>
      <c r="M272" s="15">
        <v>22.2</v>
      </c>
      <c r="N272" s="15">
        <v>100810</v>
      </c>
      <c r="O272" s="15">
        <v>0.7</v>
      </c>
      <c r="P272" s="15">
        <v>3</v>
      </c>
      <c r="R272" t="s">
        <v>204</v>
      </c>
      <c r="S272" s="15" t="s">
        <v>205</v>
      </c>
      <c r="T272">
        <v>1</v>
      </c>
      <c r="U272">
        <v>0.8</v>
      </c>
      <c r="V272">
        <v>1</v>
      </c>
      <c r="W272">
        <v>0.2</v>
      </c>
      <c r="X272" s="15">
        <v>72</v>
      </c>
    </row>
    <row r="273" spans="2:24" x14ac:dyDescent="0.25">
      <c r="B273" s="24"/>
      <c r="C273" s="15" t="s">
        <v>335</v>
      </c>
      <c r="D273" s="15">
        <v>455</v>
      </c>
      <c r="E273" s="15" t="s">
        <v>338</v>
      </c>
      <c r="F273" s="21">
        <v>46108</v>
      </c>
      <c r="G273" s="22">
        <v>0.64513888888888904</v>
      </c>
      <c r="H273" s="23">
        <f>(I273 *Tabelle1[[#This Row],[Umgebungsdruck]]/101325*273.15/(Tabelle1[[#This Row],[Umgebungstemperatur]]+273.15))/1.046</f>
        <v>8.2077830673377683</v>
      </c>
      <c r="I273" s="23">
        <f>Tabelle1[[#This Row],[Gasgeschwindigkeit]]*PI()*(Tabelle1[[#This Row],[Kanalmaße]]/1000)^2/4*1000000*60</f>
        <v>9.3305301811616843</v>
      </c>
      <c r="J273" s="30">
        <v>0.19800000000000001</v>
      </c>
      <c r="K273" s="23">
        <f>Tabelle1[[#This Row],[Flüssigkeitsgeschwindigkeit]]*PI()*(Tabelle1[[#This Row],[Kanalmaße]]/1000)^2/4*1000000*60</f>
        <v>2.638937829015426</v>
      </c>
      <c r="L273" s="15">
        <v>5.6000000000000001E-2</v>
      </c>
      <c r="M273" s="15">
        <v>22.2</v>
      </c>
      <c r="N273" s="15">
        <v>100810</v>
      </c>
      <c r="O273" s="15">
        <v>0.8</v>
      </c>
      <c r="P273" s="15">
        <v>3</v>
      </c>
      <c r="R273" t="s">
        <v>204</v>
      </c>
      <c r="S273" s="15" t="s">
        <v>205</v>
      </c>
      <c r="T273">
        <v>1</v>
      </c>
      <c r="U273">
        <v>0.8</v>
      </c>
      <c r="V273">
        <v>1</v>
      </c>
      <c r="W273">
        <v>0.2</v>
      </c>
      <c r="X273" s="15">
        <v>72</v>
      </c>
    </row>
    <row r="274" spans="2:24" x14ac:dyDescent="0.25">
      <c r="B274" s="24"/>
      <c r="C274" s="15" t="s">
        <v>335</v>
      </c>
      <c r="D274" s="15">
        <v>455</v>
      </c>
      <c r="E274" s="15" t="s">
        <v>339</v>
      </c>
      <c r="F274" s="21">
        <v>46108</v>
      </c>
      <c r="G274" s="22">
        <v>0.64583333333333304</v>
      </c>
      <c r="H274" s="23">
        <f>(I274 *Tabelle1[[#This Row],[Umgebungsdruck]]/101325*273.15/(Tabelle1[[#This Row],[Umgebungstemperatur]]+273.15))/1.046</f>
        <v>8.2077830673377683</v>
      </c>
      <c r="I274" s="23">
        <f>Tabelle1[[#This Row],[Gasgeschwindigkeit]]*PI()*(Tabelle1[[#This Row],[Kanalmaße]]/1000)^2/4*1000000*60</f>
        <v>9.3305301811616843</v>
      </c>
      <c r="J274" s="30">
        <v>0.19800000000000001</v>
      </c>
      <c r="K274" s="23">
        <f>Tabelle1[[#This Row],[Flüssigkeitsgeschwindigkeit]]*PI()*(Tabelle1[[#This Row],[Kanalmaße]]/1000)^2/4*1000000*60</f>
        <v>7.8696895972424317</v>
      </c>
      <c r="L274" s="15">
        <v>0.16700000000000001</v>
      </c>
      <c r="M274" s="15">
        <v>22.2</v>
      </c>
      <c r="N274" s="15">
        <v>100810</v>
      </c>
      <c r="O274" s="15">
        <v>0.8</v>
      </c>
      <c r="P274" s="15">
        <v>3</v>
      </c>
      <c r="R274" t="s">
        <v>204</v>
      </c>
      <c r="S274" s="15" t="s">
        <v>205</v>
      </c>
      <c r="T274">
        <v>1</v>
      </c>
      <c r="U274">
        <v>0.8</v>
      </c>
      <c r="V274">
        <v>1</v>
      </c>
      <c r="W274">
        <v>0.2</v>
      </c>
      <c r="X274" s="15">
        <v>72</v>
      </c>
    </row>
    <row r="275" spans="2:24" x14ac:dyDescent="0.25">
      <c r="B275" s="24"/>
      <c r="C275" s="15" t="s">
        <v>335</v>
      </c>
      <c r="D275" s="15">
        <v>455</v>
      </c>
      <c r="E275" s="15" t="s">
        <v>340</v>
      </c>
      <c r="F275" s="21">
        <v>46108</v>
      </c>
      <c r="G275" s="22">
        <v>0.64722222222222203</v>
      </c>
      <c r="H275" s="23">
        <f>(I275 *Tabelle1[[#This Row],[Umgebungsdruck]]/101325*273.15/(Tabelle1[[#This Row],[Umgebungstemperatur]]+273.15))/1.046</f>
        <v>8.2077830673377683</v>
      </c>
      <c r="I275" s="23">
        <f>Tabelle1[[#This Row],[Gasgeschwindigkeit]]*PI()*(Tabelle1[[#This Row],[Kanalmaße]]/1000)^2/4*1000000*60</f>
        <v>9.3305301811616843</v>
      </c>
      <c r="J275" s="30">
        <v>0.19800000000000001</v>
      </c>
      <c r="K275" s="23">
        <f>Tabelle1[[#This Row],[Flüssigkeitsgeschwindigkeit]]*PI()*(Tabelle1[[#This Row],[Kanalmaße]]/1000)^2/4*1000000*60</f>
        <v>11.780972450961723</v>
      </c>
      <c r="L275" s="15">
        <v>0.25</v>
      </c>
      <c r="M275" s="15">
        <v>22.2</v>
      </c>
      <c r="N275" s="15">
        <v>100810</v>
      </c>
      <c r="O275" s="15">
        <v>0.8</v>
      </c>
      <c r="P275" s="15">
        <v>3</v>
      </c>
      <c r="R275" t="s">
        <v>204</v>
      </c>
      <c r="S275" s="15" t="s">
        <v>205</v>
      </c>
      <c r="T275">
        <v>1</v>
      </c>
      <c r="U275">
        <v>0.8</v>
      </c>
      <c r="V275">
        <v>1</v>
      </c>
      <c r="W275">
        <v>0.2</v>
      </c>
      <c r="X275" s="15">
        <v>72</v>
      </c>
    </row>
    <row r="276" spans="2:24" x14ac:dyDescent="0.25">
      <c r="B276" s="24"/>
      <c r="C276" s="15" t="s">
        <v>335</v>
      </c>
      <c r="D276" s="15">
        <v>455</v>
      </c>
      <c r="E276" s="15" t="s">
        <v>341</v>
      </c>
      <c r="F276" s="21">
        <v>46108</v>
      </c>
      <c r="G276" s="22">
        <v>0.64861111111111103</v>
      </c>
      <c r="H276" s="23">
        <f>(I276 *Tabelle1[[#This Row],[Umgebungsdruck]]/101325*273.15/(Tabelle1[[#This Row],[Umgebungstemperatur]]+273.15))/1.046</f>
        <v>10.90225730661532</v>
      </c>
      <c r="I276" s="23">
        <f>Tabelle1[[#This Row],[Gasgeschwindigkeit]]*PI()*(Tabelle1[[#This Row],[Kanalmaße]]/1000)^2/4*1000000*60</f>
        <v>12.393583018411734</v>
      </c>
      <c r="J276" s="30">
        <v>0.26300000000000001</v>
      </c>
      <c r="K276" s="23">
        <f>Tabelle1[[#This Row],[Flüssigkeitsgeschwindigkeit]]*PI()*(Tabelle1[[#This Row],[Kanalmaße]]/1000)^2/4*1000000*60</f>
        <v>2.638937829015426</v>
      </c>
      <c r="L276" s="15">
        <v>5.6000000000000001E-2</v>
      </c>
      <c r="M276" s="15">
        <v>22.2</v>
      </c>
      <c r="N276" s="15">
        <v>100810</v>
      </c>
      <c r="O276" s="15">
        <v>0.8</v>
      </c>
      <c r="P276" s="15">
        <v>3</v>
      </c>
      <c r="R276" t="s">
        <v>204</v>
      </c>
      <c r="S276" s="15" t="s">
        <v>205</v>
      </c>
      <c r="T276">
        <v>1</v>
      </c>
      <c r="U276">
        <v>0.8</v>
      </c>
      <c r="V276">
        <v>1</v>
      </c>
      <c r="W276">
        <v>0.2</v>
      </c>
      <c r="X276" s="15">
        <v>72</v>
      </c>
    </row>
    <row r="277" spans="2:24" x14ac:dyDescent="0.25">
      <c r="B277" s="24"/>
      <c r="C277" s="15" t="s">
        <v>335</v>
      </c>
      <c r="D277" s="15">
        <v>455</v>
      </c>
      <c r="E277" s="15" t="s">
        <v>342</v>
      </c>
      <c r="F277" s="21">
        <v>46108</v>
      </c>
      <c r="G277" s="22">
        <v>0.64930555555555602</v>
      </c>
      <c r="H277" s="23">
        <f>(I277 *Tabelle1[[#This Row],[Umgebungsdruck]]/101325*273.15/(Tabelle1[[#This Row],[Umgebungstemperatur]]+273.15))/1.046</f>
        <v>10.90225730661532</v>
      </c>
      <c r="I277" s="23">
        <f>Tabelle1[[#This Row],[Gasgeschwindigkeit]]*PI()*(Tabelle1[[#This Row],[Kanalmaße]]/1000)^2/4*1000000*60</f>
        <v>12.393583018411734</v>
      </c>
      <c r="J277" s="30">
        <v>0.26300000000000001</v>
      </c>
      <c r="K277" s="23">
        <f>Tabelle1[[#This Row],[Flüssigkeitsgeschwindigkeit]]*PI()*(Tabelle1[[#This Row],[Kanalmaße]]/1000)^2/4*1000000*60</f>
        <v>7.8696895972424317</v>
      </c>
      <c r="L277" s="15">
        <v>0.16700000000000001</v>
      </c>
      <c r="M277" s="15">
        <v>22.2</v>
      </c>
      <c r="N277" s="15">
        <v>100810</v>
      </c>
      <c r="O277" s="15">
        <v>0.8</v>
      </c>
      <c r="P277" s="15">
        <v>3</v>
      </c>
      <c r="R277" t="s">
        <v>204</v>
      </c>
      <c r="S277" s="15" t="s">
        <v>205</v>
      </c>
      <c r="T277">
        <v>1</v>
      </c>
      <c r="U277">
        <v>0.8</v>
      </c>
      <c r="V277">
        <v>1</v>
      </c>
      <c r="W277">
        <v>0.2</v>
      </c>
      <c r="X277" s="15">
        <v>72</v>
      </c>
    </row>
    <row r="278" spans="2:24" x14ac:dyDescent="0.25">
      <c r="B278" s="24"/>
      <c r="C278" s="15" t="s">
        <v>335</v>
      </c>
      <c r="D278" s="15">
        <v>455</v>
      </c>
      <c r="E278" s="15" t="s">
        <v>343</v>
      </c>
      <c r="F278" s="21">
        <v>46108</v>
      </c>
      <c r="G278" s="22">
        <v>0.65</v>
      </c>
      <c r="H278" s="23">
        <f>(I278 *Tabelle1[[#This Row],[Umgebungsdruck]]/101325*273.15/(Tabelle1[[#This Row],[Umgebungstemperatur]]+273.15))/1.046</f>
        <v>10.90225730661532</v>
      </c>
      <c r="I278" s="23">
        <f>Tabelle1[[#This Row],[Gasgeschwindigkeit]]*PI()*(Tabelle1[[#This Row],[Kanalmaße]]/1000)^2/4*1000000*60</f>
        <v>12.393583018411734</v>
      </c>
      <c r="J278" s="30">
        <v>0.26300000000000001</v>
      </c>
      <c r="K278" s="23">
        <f>Tabelle1[[#This Row],[Flüssigkeitsgeschwindigkeit]]*PI()*(Tabelle1[[#This Row],[Kanalmaße]]/1000)^2/4*1000000*60</f>
        <v>11.780972450961723</v>
      </c>
      <c r="L278" s="15">
        <v>0.25</v>
      </c>
      <c r="M278" s="15">
        <v>22.2</v>
      </c>
      <c r="N278" s="15">
        <v>100810</v>
      </c>
      <c r="O278" s="15">
        <v>0.8</v>
      </c>
      <c r="P278" s="15">
        <v>3</v>
      </c>
      <c r="R278" t="s">
        <v>204</v>
      </c>
      <c r="S278" s="15" t="s">
        <v>205</v>
      </c>
      <c r="T278">
        <v>1</v>
      </c>
      <c r="U278">
        <v>0.8</v>
      </c>
      <c r="V278">
        <v>1</v>
      </c>
      <c r="W278">
        <v>0.2</v>
      </c>
      <c r="X278" s="15">
        <v>72</v>
      </c>
    </row>
    <row r="279" spans="2:24" x14ac:dyDescent="0.25">
      <c r="B279" s="24"/>
      <c r="C279" s="15" t="s">
        <v>344</v>
      </c>
      <c r="D279" s="15">
        <v>415.5</v>
      </c>
      <c r="E279" s="15" t="s">
        <v>345</v>
      </c>
      <c r="F279" s="21">
        <v>46108</v>
      </c>
      <c r="G279" s="22">
        <v>0.65833333333333299</v>
      </c>
      <c r="H279" s="23">
        <f>(I279 *Tabelle1[[#This Row],[Umgebungsdruck]]/101325*273.15/(Tabelle1[[#This Row],[Umgebungstemperatur]]+273.15))/1.046</f>
        <v>3.6946120116967087</v>
      </c>
      <c r="I279" s="23">
        <f>Tabelle1[[#This Row],[Gasgeschwindigkeit]]*60</f>
        <v>4.2</v>
      </c>
      <c r="J279" s="30">
        <v>7.0000000000000007E-2</v>
      </c>
      <c r="K279" s="23">
        <f>Tabelle1[[#This Row],[Flüssigkeitsgeschwindigkeit]]*60</f>
        <v>6.66</v>
      </c>
      <c r="L279" s="15">
        <v>0.111</v>
      </c>
      <c r="M279" s="15">
        <v>22.2</v>
      </c>
      <c r="N279" s="15">
        <v>100810</v>
      </c>
      <c r="O279" s="15">
        <v>0.6</v>
      </c>
      <c r="P279" s="15">
        <v>3</v>
      </c>
      <c r="R279" t="s">
        <v>25</v>
      </c>
      <c r="S279" s="15" t="s">
        <v>26</v>
      </c>
      <c r="T279">
        <v>1</v>
      </c>
      <c r="U279">
        <v>0.6</v>
      </c>
      <c r="V279">
        <v>1</v>
      </c>
      <c r="W279">
        <v>0.2</v>
      </c>
      <c r="X279" s="15">
        <v>72</v>
      </c>
    </row>
    <row r="280" spans="2:24" x14ac:dyDescent="0.25">
      <c r="B280" s="24"/>
      <c r="C280" s="15" t="s">
        <v>344</v>
      </c>
      <c r="D280" s="15">
        <v>415.5</v>
      </c>
      <c r="E280" s="15" t="s">
        <v>346</v>
      </c>
      <c r="F280" s="21">
        <v>46108</v>
      </c>
      <c r="G280" s="22">
        <v>0.65972222222222199</v>
      </c>
      <c r="H280" s="23">
        <f>(I280 *Tabelle1[[#This Row],[Umgebungsdruck]]/101325*273.15/(Tabelle1[[#This Row],[Umgebungstemperatur]]+273.15))/1.046</f>
        <v>7.0725429938194164</v>
      </c>
      <c r="I280" s="23">
        <f>Tabelle1[[#This Row],[Gasgeschwindigkeit]]*60</f>
        <v>8.0400000000000009</v>
      </c>
      <c r="J280" s="30">
        <v>0.13400000000000001</v>
      </c>
      <c r="K280" s="23">
        <f>Tabelle1[[#This Row],[Flüssigkeitsgeschwindigkeit]]*60</f>
        <v>10.020000000000001</v>
      </c>
      <c r="L280" s="15">
        <v>0.16700000000000001</v>
      </c>
      <c r="M280" s="15">
        <v>22.2</v>
      </c>
      <c r="N280" s="15">
        <v>100810</v>
      </c>
      <c r="O280" s="15">
        <v>0.6</v>
      </c>
      <c r="P280" s="15">
        <v>3</v>
      </c>
      <c r="R280" t="s">
        <v>25</v>
      </c>
      <c r="S280" s="15" t="s">
        <v>26</v>
      </c>
      <c r="T280">
        <v>1</v>
      </c>
      <c r="U280">
        <v>0.6</v>
      </c>
      <c r="V280">
        <v>1</v>
      </c>
      <c r="W280">
        <v>0.2</v>
      </c>
      <c r="X280" s="15">
        <v>72</v>
      </c>
    </row>
    <row r="281" spans="2:24" x14ac:dyDescent="0.25">
      <c r="B281" s="24"/>
      <c r="C281" s="15" t="s">
        <v>344</v>
      </c>
      <c r="D281" s="15">
        <v>415.5</v>
      </c>
      <c r="E281" s="15" t="s">
        <v>347</v>
      </c>
      <c r="F281" s="21">
        <v>46108</v>
      </c>
      <c r="G281" s="22">
        <v>0.66180555555555598</v>
      </c>
      <c r="H281" s="23">
        <f>(I281 *Tabelle1[[#This Row],[Umgebungsdruck]]/101325*273.15/(Tabelle1[[#This Row],[Umgebungstemperatur]]+273.15))/1.046</f>
        <v>10.450473975942121</v>
      </c>
      <c r="I281" s="23">
        <f>Tabelle1[[#This Row],[Gasgeschwindigkeit]]*60</f>
        <v>11.88</v>
      </c>
      <c r="J281" s="30">
        <v>0.19800000000000001</v>
      </c>
      <c r="K281" s="23">
        <f>Tabelle1[[#This Row],[Flüssigkeitsgeschwindigkeit]]*60</f>
        <v>3.36</v>
      </c>
      <c r="L281" s="15">
        <v>5.6000000000000001E-2</v>
      </c>
      <c r="M281" s="15">
        <v>22.2</v>
      </c>
      <c r="N281" s="15">
        <v>100810</v>
      </c>
      <c r="O281" s="15">
        <v>0.8</v>
      </c>
      <c r="P281" s="15">
        <v>3</v>
      </c>
      <c r="R281" t="s">
        <v>25</v>
      </c>
      <c r="S281" s="15" t="s">
        <v>26</v>
      </c>
      <c r="T281">
        <v>1</v>
      </c>
      <c r="U281">
        <v>0.6</v>
      </c>
      <c r="V281">
        <v>1</v>
      </c>
      <c r="W281">
        <v>0.2</v>
      </c>
      <c r="X281" s="15">
        <v>72</v>
      </c>
    </row>
    <row r="282" spans="2:24" x14ac:dyDescent="0.25">
      <c r="B282" s="24"/>
      <c r="C282" s="15" t="s">
        <v>344</v>
      </c>
      <c r="D282" s="15">
        <v>415.5</v>
      </c>
      <c r="E282" s="15" t="s">
        <v>348</v>
      </c>
      <c r="F282" s="21">
        <v>46108</v>
      </c>
      <c r="G282" s="22">
        <v>0.66249999999999998</v>
      </c>
      <c r="H282" s="23">
        <f>(I282 *Tabelle1[[#This Row],[Umgebungsdruck]]/101325*273.15/(Tabelle1[[#This Row],[Umgebungstemperatur]]+273.15))/1.046</f>
        <v>10.450473975942121</v>
      </c>
      <c r="I282" s="23">
        <f>Tabelle1[[#This Row],[Gasgeschwindigkeit]]*60</f>
        <v>11.88</v>
      </c>
      <c r="J282" s="30">
        <v>0.19800000000000001</v>
      </c>
      <c r="K282" s="23">
        <f>Tabelle1[[#This Row],[Flüssigkeitsgeschwindigkeit]]*60</f>
        <v>10.020000000000001</v>
      </c>
      <c r="L282" s="15">
        <v>0.16700000000000001</v>
      </c>
      <c r="M282" s="15">
        <v>22.2</v>
      </c>
      <c r="N282" s="15">
        <v>100810</v>
      </c>
      <c r="O282" s="15">
        <v>0.8</v>
      </c>
      <c r="P282" s="15">
        <v>3</v>
      </c>
      <c r="R282" t="s">
        <v>25</v>
      </c>
      <c r="S282" s="15" t="s">
        <v>26</v>
      </c>
      <c r="T282">
        <v>1</v>
      </c>
      <c r="U282">
        <v>0.6</v>
      </c>
      <c r="V282">
        <v>1</v>
      </c>
      <c r="W282">
        <v>0.2</v>
      </c>
      <c r="X282" s="15">
        <v>72</v>
      </c>
    </row>
    <row r="283" spans="2:24" x14ac:dyDescent="0.25">
      <c r="B283" s="24"/>
      <c r="C283" s="15" t="s">
        <v>344</v>
      </c>
      <c r="D283" s="15">
        <v>415.5</v>
      </c>
      <c r="E283" s="15" t="s">
        <v>349</v>
      </c>
      <c r="F283" s="21">
        <v>46108</v>
      </c>
      <c r="G283" s="22">
        <v>0.66388888888888897</v>
      </c>
      <c r="H283" s="23">
        <f>(I283 *Tabelle1[[#This Row],[Umgebungsdruck]]/101325*273.15/(Tabelle1[[#This Row],[Umgebungstemperatur]]+273.15))/1.046</f>
        <v>10.450473975942121</v>
      </c>
      <c r="I283" s="23">
        <f>Tabelle1[[#This Row],[Gasgeschwindigkeit]]*60</f>
        <v>11.88</v>
      </c>
      <c r="J283" s="30">
        <v>0.19800000000000001</v>
      </c>
      <c r="K283" s="23">
        <f>Tabelle1[[#This Row],[Flüssigkeitsgeschwindigkeit]]*60</f>
        <v>15</v>
      </c>
      <c r="L283" s="15">
        <v>0.25</v>
      </c>
      <c r="M283" s="15">
        <v>22.2</v>
      </c>
      <c r="N283" s="15">
        <v>100810</v>
      </c>
      <c r="O283" s="15">
        <v>0.8</v>
      </c>
      <c r="P283" s="15">
        <v>3</v>
      </c>
      <c r="R283" t="s">
        <v>25</v>
      </c>
      <c r="S283" s="15" t="s">
        <v>26</v>
      </c>
      <c r="T283">
        <v>1</v>
      </c>
      <c r="U283">
        <v>0.6</v>
      </c>
      <c r="V283">
        <v>1</v>
      </c>
      <c r="W283">
        <v>0.2</v>
      </c>
      <c r="X283" s="15">
        <v>72</v>
      </c>
    </row>
    <row r="284" spans="2:24" x14ac:dyDescent="0.25">
      <c r="B284" s="24"/>
      <c r="C284" s="15" t="s">
        <v>344</v>
      </c>
      <c r="D284" s="15">
        <v>415.5</v>
      </c>
      <c r="E284" s="15" t="s">
        <v>350</v>
      </c>
      <c r="F284" s="21">
        <v>46108</v>
      </c>
      <c r="G284" s="22">
        <v>0.66527777777777797</v>
      </c>
      <c r="H284" s="23">
        <f>(I284 *Tabelle1[[#This Row],[Umgebungsdruck]]/101325*273.15/(Tabelle1[[#This Row],[Umgebungstemperatur]]+273.15))/1.046</f>
        <v>13.881185129660492</v>
      </c>
      <c r="I284" s="23">
        <f>Tabelle1[[#This Row],[Gasgeschwindigkeit]]*60</f>
        <v>15.780000000000001</v>
      </c>
      <c r="J284" s="30">
        <v>0.26300000000000001</v>
      </c>
      <c r="K284" s="23">
        <f>Tabelle1[[#This Row],[Flüssigkeitsgeschwindigkeit]]*60</f>
        <v>3.36</v>
      </c>
      <c r="L284" s="15">
        <v>5.6000000000000001E-2</v>
      </c>
      <c r="M284" s="15">
        <v>22.2</v>
      </c>
      <c r="N284" s="15">
        <v>100810</v>
      </c>
      <c r="P284" s="15">
        <v>3</v>
      </c>
      <c r="R284" t="s">
        <v>25</v>
      </c>
      <c r="S284" s="15" t="s">
        <v>26</v>
      </c>
      <c r="T284">
        <v>1</v>
      </c>
      <c r="U284">
        <v>0.6</v>
      </c>
      <c r="V284">
        <v>1</v>
      </c>
      <c r="W284">
        <v>0.2</v>
      </c>
      <c r="X284" s="15">
        <v>72</v>
      </c>
    </row>
    <row r="285" spans="2:24" x14ac:dyDescent="0.25">
      <c r="B285" s="24"/>
      <c r="C285" s="15" t="s">
        <v>344</v>
      </c>
      <c r="D285" s="15">
        <v>415.5</v>
      </c>
      <c r="E285" s="15" t="s">
        <v>351</v>
      </c>
      <c r="F285" s="21">
        <v>46108</v>
      </c>
      <c r="G285" s="22">
        <v>0.66666666666666696</v>
      </c>
      <c r="H285" s="23">
        <f>(I285 *Tabelle1[[#This Row],[Umgebungsdruck]]/101325*273.15/(Tabelle1[[#This Row],[Umgebungstemperatur]]+273.15))/1.046</f>
        <v>13.881185129660492</v>
      </c>
      <c r="I285" s="23">
        <f>Tabelle1[[#This Row],[Gasgeschwindigkeit]]*60</f>
        <v>15.780000000000001</v>
      </c>
      <c r="J285" s="30">
        <v>0.26300000000000001</v>
      </c>
      <c r="K285" s="23">
        <f>Tabelle1[[#This Row],[Flüssigkeitsgeschwindigkeit]]*60</f>
        <v>10.020000000000001</v>
      </c>
      <c r="L285" s="15">
        <v>0.16700000000000001</v>
      </c>
      <c r="M285" s="15">
        <v>22.2</v>
      </c>
      <c r="N285" s="15">
        <v>100810</v>
      </c>
      <c r="P285" s="15">
        <v>3</v>
      </c>
      <c r="R285" t="s">
        <v>25</v>
      </c>
      <c r="S285" s="15" t="s">
        <v>26</v>
      </c>
      <c r="T285">
        <v>1</v>
      </c>
      <c r="U285">
        <v>0.6</v>
      </c>
      <c r="V285">
        <v>1</v>
      </c>
      <c r="W285">
        <v>0.2</v>
      </c>
      <c r="X285" s="15">
        <v>72</v>
      </c>
    </row>
    <row r="286" spans="2:24" x14ac:dyDescent="0.25">
      <c r="B286" s="24"/>
      <c r="C286" s="15" t="s">
        <v>344</v>
      </c>
      <c r="D286" s="15">
        <v>415.5</v>
      </c>
      <c r="E286" s="15" t="s">
        <v>352</v>
      </c>
      <c r="F286" s="21">
        <v>46108</v>
      </c>
      <c r="G286" s="22">
        <v>0.66736111111111096</v>
      </c>
      <c r="H286" s="23">
        <f>(I286 *Tabelle1[[#This Row],[Umgebungsdruck]]/101325*273.15/(Tabelle1[[#This Row],[Umgebungstemperatur]]+273.15))/1.046</f>
        <v>13.881185129660492</v>
      </c>
      <c r="I286" s="23">
        <f>Tabelle1[[#This Row],[Gasgeschwindigkeit]]*60</f>
        <v>15.780000000000001</v>
      </c>
      <c r="J286" s="30">
        <v>0.26300000000000001</v>
      </c>
      <c r="K286" s="23">
        <f>Tabelle1[[#This Row],[Flüssigkeitsgeschwindigkeit]]*60</f>
        <v>15</v>
      </c>
      <c r="L286" s="15">
        <v>0.25</v>
      </c>
      <c r="M286" s="15">
        <v>22.2</v>
      </c>
      <c r="N286" s="15">
        <v>100810</v>
      </c>
      <c r="P286" s="15">
        <v>3</v>
      </c>
      <c r="R286" t="s">
        <v>25</v>
      </c>
      <c r="S286" s="15" t="s">
        <v>26</v>
      </c>
      <c r="T286">
        <v>1</v>
      </c>
      <c r="U286">
        <v>0.6</v>
      </c>
      <c r="V286">
        <v>1</v>
      </c>
      <c r="W286">
        <v>0.2</v>
      </c>
      <c r="X286" s="15">
        <v>72</v>
      </c>
    </row>
    <row r="287" spans="2:24" x14ac:dyDescent="0.25">
      <c r="B287" s="24" t="s">
        <v>353</v>
      </c>
      <c r="C287" s="15" t="s">
        <v>354</v>
      </c>
      <c r="D287" s="15">
        <v>453.5</v>
      </c>
      <c r="E287" s="15" t="s">
        <v>355</v>
      </c>
      <c r="F287" s="21">
        <v>46108</v>
      </c>
      <c r="G287" s="22">
        <v>0.625</v>
      </c>
      <c r="H287" s="23">
        <f>(I287 *Tabelle1[[#This Row],[Umgebungsdruck]]/101325*273.15/(Tabelle1[[#This Row],[Umgebungstemperatur]]+273.15))/1.046</f>
        <v>6.5280033806654965</v>
      </c>
      <c r="I287" s="23">
        <f>Tabelle1[[#This Row],[Gasgeschwindigkeit]]*PI()*(Tabelle1[[#This Row],[Kanalmaße]]/1000)^2/4*1000000*60</f>
        <v>7.4220126441058873</v>
      </c>
      <c r="J287" s="30">
        <v>7.0000000000000007E-2</v>
      </c>
      <c r="K287" s="23">
        <f>Tabelle1[[#This Row],[Flüssigkeitsgeschwindigkeit]]*PI()*(Tabelle1[[#This Row],[Kanalmaße]]/1000)^2/4*1000000*60</f>
        <v>11.769191478510763</v>
      </c>
      <c r="L287" s="15">
        <v>0.111</v>
      </c>
      <c r="M287" s="15">
        <v>22.3</v>
      </c>
      <c r="N287" s="15">
        <v>100830</v>
      </c>
      <c r="O287" s="15">
        <v>0.7</v>
      </c>
      <c r="P287" s="15">
        <v>3</v>
      </c>
      <c r="R287" t="s">
        <v>204</v>
      </c>
      <c r="S287" s="15" t="s">
        <v>205</v>
      </c>
      <c r="T287">
        <v>1.5</v>
      </c>
      <c r="U287">
        <v>1.1499999999999999</v>
      </c>
      <c r="V287">
        <v>1</v>
      </c>
      <c r="W287">
        <v>0.2</v>
      </c>
      <c r="X287" s="15">
        <v>72</v>
      </c>
    </row>
    <row r="288" spans="2:24" x14ac:dyDescent="0.25">
      <c r="B288" s="24"/>
      <c r="C288" s="15" t="s">
        <v>354</v>
      </c>
      <c r="D288" s="15">
        <v>453.5</v>
      </c>
      <c r="E288" s="15" t="s">
        <v>356</v>
      </c>
      <c r="F288" s="21">
        <v>46108</v>
      </c>
      <c r="G288" s="22"/>
      <c r="H288" s="23">
        <f>(I288 *Tabelle1[[#This Row],[Umgebungsdruck]]/101325*273.15/(Tabelle1[[#This Row],[Umgebungstemperatur]]+273.15))/1.046</f>
        <v>12.496463614416808</v>
      </c>
      <c r="I288" s="23">
        <f>Tabelle1[[#This Row],[Gasgeschwindigkeit]]*PI()*(Tabelle1[[#This Row],[Kanalmaße]]/1000)^2/4*1000000*60</f>
        <v>14.207852775859841</v>
      </c>
      <c r="J288" s="30">
        <v>0.13400000000000001</v>
      </c>
      <c r="K288" s="23">
        <f>Tabelle1[[#This Row],[Flüssigkeitsgeschwindigkeit]]*PI()*(Tabelle1[[#This Row],[Kanalmaße]]/1000)^2/4*1000000*60</f>
        <v>17.706801593795472</v>
      </c>
      <c r="L288" s="15">
        <v>0.16700000000000001</v>
      </c>
      <c r="M288" s="15">
        <v>22.3</v>
      </c>
      <c r="N288" s="15">
        <v>100830</v>
      </c>
      <c r="P288" s="15">
        <v>3</v>
      </c>
      <c r="R288" t="s">
        <v>204</v>
      </c>
      <c r="S288" s="15" t="s">
        <v>205</v>
      </c>
      <c r="T288">
        <v>1.5</v>
      </c>
      <c r="U288">
        <v>1.1499999999999999</v>
      </c>
      <c r="V288">
        <v>1</v>
      </c>
      <c r="W288">
        <v>0.2</v>
      </c>
      <c r="X288" s="15">
        <v>72</v>
      </c>
    </row>
    <row r="289" spans="2:24" x14ac:dyDescent="0.25">
      <c r="B289" s="24"/>
      <c r="C289" s="15" t="s">
        <v>354</v>
      </c>
      <c r="D289" s="15">
        <v>453.5</v>
      </c>
      <c r="E289" s="15" t="s">
        <v>357</v>
      </c>
      <c r="F289" s="21">
        <v>46108</v>
      </c>
      <c r="G289" s="22">
        <v>0.60277777777777797</v>
      </c>
      <c r="H289" s="23">
        <f>(I289 *Tabelle1[[#This Row],[Umgebungsdruck]]/101325*273.15/(Tabelle1[[#This Row],[Umgebungstemperatur]]+273.15))/1.046</f>
        <v>18.464923848168119</v>
      </c>
      <c r="I289" s="23">
        <f>Tabelle1[[#This Row],[Gasgeschwindigkeit]]*PI()*(Tabelle1[[#This Row],[Kanalmaße]]/1000)^2/4*1000000*60</f>
        <v>20.993692907613795</v>
      </c>
      <c r="J289" s="30">
        <v>0.19800000000000001</v>
      </c>
      <c r="K289" s="23">
        <f>Tabelle1[[#This Row],[Flüssigkeitsgeschwindigkeit]]*PI()*(Tabelle1[[#This Row],[Kanalmaße]]/1000)^2/4*1000000*60</f>
        <v>5.9376101152847083</v>
      </c>
      <c r="L289" s="15">
        <v>5.6000000000000001E-2</v>
      </c>
      <c r="M289" s="15">
        <v>22.3</v>
      </c>
      <c r="N289" s="15">
        <v>100830</v>
      </c>
      <c r="O289" s="15">
        <v>1</v>
      </c>
      <c r="P289" s="15">
        <v>3</v>
      </c>
      <c r="R289" t="s">
        <v>204</v>
      </c>
      <c r="S289" s="15" t="s">
        <v>205</v>
      </c>
      <c r="T289">
        <v>1.5</v>
      </c>
      <c r="U289">
        <v>1.1499999999999999</v>
      </c>
      <c r="V289">
        <v>2</v>
      </c>
      <c r="W289">
        <v>0.2</v>
      </c>
      <c r="X289" s="15">
        <v>72</v>
      </c>
    </row>
    <row r="290" spans="2:24" x14ac:dyDescent="0.25">
      <c r="B290" s="24"/>
      <c r="C290" s="15" t="s">
        <v>354</v>
      </c>
      <c r="D290" s="15">
        <v>453.5</v>
      </c>
      <c r="E290" s="15" t="s">
        <v>358</v>
      </c>
      <c r="F290" s="21">
        <v>46108</v>
      </c>
      <c r="G290" s="22">
        <v>0.60486111111111096</v>
      </c>
      <c r="H290" s="23">
        <f>(I290 *Tabelle1[[#This Row],[Umgebungsdruck]]/101325*273.15/(Tabelle1[[#This Row],[Umgebungstemperatur]]+273.15))/1.046</f>
        <v>18.464923848168119</v>
      </c>
      <c r="I290" s="23">
        <f>Tabelle1[[#This Row],[Gasgeschwindigkeit]]*PI()*(Tabelle1[[#This Row],[Kanalmaße]]/1000)^2/4*1000000*60</f>
        <v>20.993692907613795</v>
      </c>
      <c r="J290" s="30">
        <v>0.19800000000000001</v>
      </c>
      <c r="K290" s="23">
        <f>Tabelle1[[#This Row],[Flüssigkeitsgeschwindigkeit]]*PI()*(Tabelle1[[#This Row],[Kanalmaße]]/1000)^2/4*1000000*60</f>
        <v>11.769191478510763</v>
      </c>
      <c r="L290" s="15">
        <v>0.111</v>
      </c>
      <c r="M290" s="15">
        <v>22.3</v>
      </c>
      <c r="N290" s="15">
        <v>100830</v>
      </c>
      <c r="O290" s="15">
        <v>1</v>
      </c>
      <c r="P290" s="15">
        <v>3</v>
      </c>
      <c r="R290" t="s">
        <v>204</v>
      </c>
      <c r="S290" s="15" t="s">
        <v>205</v>
      </c>
      <c r="T290">
        <v>1.5</v>
      </c>
      <c r="U290">
        <v>1.1499999999999999</v>
      </c>
      <c r="V290">
        <v>2</v>
      </c>
      <c r="W290">
        <v>0.2</v>
      </c>
      <c r="X290" s="15">
        <v>72</v>
      </c>
    </row>
    <row r="291" spans="2:24" x14ac:dyDescent="0.25">
      <c r="B291" s="24"/>
      <c r="C291" s="15" t="s">
        <v>354</v>
      </c>
      <c r="D291" s="15">
        <v>453.5</v>
      </c>
      <c r="E291" s="15" t="s">
        <v>359</v>
      </c>
      <c r="F291" s="21">
        <v>46108</v>
      </c>
      <c r="G291" s="22">
        <v>0.60555555555555596</v>
      </c>
      <c r="H291" s="23">
        <f>(I291 *Tabelle1[[#This Row],[Umgebungsdruck]]/101325*273.15/(Tabelle1[[#This Row],[Umgebungstemperatur]]+273.15))/1.046</f>
        <v>18.464923848168119</v>
      </c>
      <c r="I291" s="23">
        <f>Tabelle1[[#This Row],[Gasgeschwindigkeit]]*PI()*(Tabelle1[[#This Row],[Kanalmaße]]/1000)^2/4*1000000*60</f>
        <v>20.993692907613795</v>
      </c>
      <c r="J291" s="30">
        <v>0.19800000000000001</v>
      </c>
      <c r="K291" s="23">
        <f>Tabelle1[[#This Row],[Flüssigkeitsgeschwindigkeit]]*PI()*(Tabelle1[[#This Row],[Kanalmaße]]/1000)^2/4*1000000*60</f>
        <v>17.706801593795472</v>
      </c>
      <c r="L291" s="15">
        <v>0.16700000000000001</v>
      </c>
      <c r="M291" s="15">
        <v>22.3</v>
      </c>
      <c r="N291" s="15">
        <v>100830</v>
      </c>
      <c r="O291" s="15">
        <v>1</v>
      </c>
      <c r="P291" s="15">
        <v>3</v>
      </c>
      <c r="R291" t="s">
        <v>204</v>
      </c>
      <c r="S291" s="15" t="s">
        <v>205</v>
      </c>
      <c r="T291">
        <v>1.5</v>
      </c>
      <c r="U291">
        <v>1.1499999999999999</v>
      </c>
      <c r="V291">
        <v>2</v>
      </c>
      <c r="W291">
        <v>0.2</v>
      </c>
      <c r="X291" s="15">
        <v>72</v>
      </c>
    </row>
    <row r="292" spans="2:24" x14ac:dyDescent="0.25">
      <c r="B292" s="24"/>
      <c r="C292" s="15" t="s">
        <v>354</v>
      </c>
      <c r="D292" s="15">
        <v>453.5</v>
      </c>
      <c r="E292" s="15" t="s">
        <v>360</v>
      </c>
      <c r="F292" s="21">
        <v>46108</v>
      </c>
      <c r="G292" s="22">
        <v>0.60763888888888895</v>
      </c>
      <c r="H292" s="23">
        <f>(I292 *Tabelle1[[#This Row],[Umgebungsdruck]]/101325*273.15/(Tabelle1[[#This Row],[Umgebungstemperatur]]+273.15))/1.046</f>
        <v>24.526641273071796</v>
      </c>
      <c r="I292" s="23">
        <f>Tabelle1[[#This Row],[Gasgeschwindigkeit]]*PI()*(Tabelle1[[#This Row],[Kanalmaße]]/1000)^2/4*1000000*60</f>
        <v>27.885561791426404</v>
      </c>
      <c r="J292" s="30">
        <v>0.26300000000000001</v>
      </c>
      <c r="K292" s="23">
        <f>Tabelle1[[#This Row],[Flüssigkeitsgeschwindigkeit]]*PI()*(Tabelle1[[#This Row],[Kanalmaße]]/1000)^2/4*1000000*60</f>
        <v>5.9376101152847083</v>
      </c>
      <c r="L292" s="15">
        <v>5.6000000000000001E-2</v>
      </c>
      <c r="M292" s="15">
        <v>22.3</v>
      </c>
      <c r="N292" s="15">
        <v>100830</v>
      </c>
      <c r="O292" s="15">
        <v>1</v>
      </c>
      <c r="P292" s="15">
        <v>3</v>
      </c>
      <c r="R292" t="s">
        <v>204</v>
      </c>
      <c r="S292" s="15" t="s">
        <v>205</v>
      </c>
      <c r="T292">
        <v>1.5</v>
      </c>
      <c r="U292">
        <v>1.1499999999999999</v>
      </c>
      <c r="V292">
        <v>2</v>
      </c>
      <c r="W292">
        <v>0.2</v>
      </c>
      <c r="X292" s="15">
        <v>72</v>
      </c>
    </row>
    <row r="293" spans="2:24" x14ac:dyDescent="0.25">
      <c r="B293" s="24"/>
      <c r="C293" s="15" t="s">
        <v>354</v>
      </c>
      <c r="D293" s="15">
        <v>453.5</v>
      </c>
      <c r="E293" s="15" t="s">
        <v>361</v>
      </c>
      <c r="F293" s="21">
        <v>46108</v>
      </c>
      <c r="G293" s="22">
        <v>0.60833333333333295</v>
      </c>
      <c r="H293" s="23">
        <f>(I293 *Tabelle1[[#This Row],[Umgebungsdruck]]/101325*273.15/(Tabelle1[[#This Row],[Umgebungstemperatur]]+273.15))/1.046</f>
        <v>24.526641273071796</v>
      </c>
      <c r="I293" s="23">
        <f>Tabelle1[[#This Row],[Gasgeschwindigkeit]]*PI()*(Tabelle1[[#This Row],[Kanalmaße]]/1000)^2/4*1000000*60</f>
        <v>27.885561791426404</v>
      </c>
      <c r="J293" s="30">
        <v>0.26300000000000001</v>
      </c>
      <c r="K293" s="23">
        <f>Tabelle1[[#This Row],[Flüssigkeitsgeschwindigkeit]]*PI()*(Tabelle1[[#This Row],[Kanalmaße]]/1000)^2/4*1000000*60</f>
        <v>11.769191478510763</v>
      </c>
      <c r="L293" s="15">
        <v>0.111</v>
      </c>
      <c r="M293" s="15">
        <v>22.3</v>
      </c>
      <c r="N293" s="15">
        <v>100830</v>
      </c>
      <c r="O293" s="15">
        <v>1</v>
      </c>
      <c r="P293" s="15">
        <v>3</v>
      </c>
      <c r="R293" t="s">
        <v>204</v>
      </c>
      <c r="S293" s="15" t="s">
        <v>205</v>
      </c>
      <c r="T293">
        <v>1.5</v>
      </c>
      <c r="U293">
        <v>1.1499999999999999</v>
      </c>
      <c r="V293">
        <v>2</v>
      </c>
      <c r="W293">
        <v>0.2</v>
      </c>
      <c r="X293" s="15">
        <v>72</v>
      </c>
    </row>
    <row r="294" spans="2:24" ht="15.75" thickBot="1" x14ac:dyDescent="0.3">
      <c r="B294" s="24"/>
      <c r="C294" s="15" t="s">
        <v>354</v>
      </c>
      <c r="D294" s="15">
        <v>453.5</v>
      </c>
      <c r="E294" s="15" t="s">
        <v>362</v>
      </c>
      <c r="F294" s="21">
        <v>46108</v>
      </c>
      <c r="G294" s="22">
        <v>0.60972222222222205</v>
      </c>
      <c r="H294" s="23">
        <f>(I294 *Tabelle1[[#This Row],[Umgebungsdruck]]/101325*273.15/(Tabelle1[[#This Row],[Umgebungstemperatur]]+273.15))/1.046</f>
        <v>24.526641273071796</v>
      </c>
      <c r="I294" s="23">
        <f>Tabelle1[[#This Row],[Gasgeschwindigkeit]]*PI()*(Tabelle1[[#This Row],[Kanalmaße]]/1000)^2/4*1000000*60</f>
        <v>27.885561791426404</v>
      </c>
      <c r="J294" s="30">
        <v>0.26300000000000001</v>
      </c>
      <c r="K294" s="23">
        <f>Tabelle1[[#This Row],[Flüssigkeitsgeschwindigkeit]]*PI()*(Tabelle1[[#This Row],[Kanalmaße]]/1000)^2/4*1000000*60</f>
        <v>17.706801593795472</v>
      </c>
      <c r="L294" s="15">
        <v>0.16700000000000001</v>
      </c>
      <c r="M294" s="15">
        <v>22.3</v>
      </c>
      <c r="N294" s="15">
        <v>100830</v>
      </c>
      <c r="O294" s="15">
        <v>1</v>
      </c>
      <c r="P294" s="15">
        <v>3</v>
      </c>
      <c r="R294" t="s">
        <v>204</v>
      </c>
      <c r="S294" s="15" t="s">
        <v>205</v>
      </c>
      <c r="T294">
        <v>1.5</v>
      </c>
      <c r="U294">
        <v>1.1499999999999999</v>
      </c>
      <c r="V294">
        <v>2</v>
      </c>
      <c r="W294">
        <v>0.2</v>
      </c>
      <c r="X294" s="15">
        <v>72</v>
      </c>
    </row>
    <row r="295" spans="2:24" ht="15.75" thickBot="1" x14ac:dyDescent="0.3">
      <c r="B295" s="50"/>
      <c r="C295" s="36"/>
      <c r="D295" s="47"/>
      <c r="E295" s="51" t="s">
        <v>363</v>
      </c>
      <c r="F295" s="21"/>
      <c r="G295" s="52"/>
      <c r="H295" s="23">
        <f>(I295 *Tabelle1[[#This Row],[Umgebungsdruck]]/101325*273.15/(Tabelle1[[#This Row],[Umgebungstemperatur]]+273.15))/1.046</f>
        <v>0.71810518971371196</v>
      </c>
      <c r="I295" s="53">
        <f>Tabelle1[[#This Row],[Gasgeschwindigkeit]]*PI()*(Tabelle1[[#This Row],[Kanalmaße]]/1000)^2/4*1000000*60</f>
        <v>0.82466807156732069</v>
      </c>
      <c r="J295" s="54">
        <v>7.0000000000000007E-2</v>
      </c>
      <c r="K295" s="44">
        <f>Tabelle1[[#This Row],[Flüssigkeitsgeschwindigkeit]]*PI()*(Tabelle1[[#This Row],[Kanalmaße]]/1000)^2/4*1000000*60</f>
        <v>0.65973445725385649</v>
      </c>
      <c r="L295" s="51">
        <v>5.6000000000000001E-2</v>
      </c>
      <c r="M295" s="51">
        <v>21.9</v>
      </c>
      <c r="N295" s="51">
        <v>99690</v>
      </c>
      <c r="O295" s="51"/>
      <c r="P295" s="51">
        <v>1</v>
      </c>
      <c r="Q295" s="51"/>
      <c r="R295" s="51" t="s">
        <v>204</v>
      </c>
      <c r="S295" s="51" t="s">
        <v>205</v>
      </c>
      <c r="T295" s="51">
        <v>0.5</v>
      </c>
      <c r="U295" s="51">
        <v>0.4</v>
      </c>
      <c r="V295" s="55">
        <v>1</v>
      </c>
      <c r="W295">
        <v>0.2</v>
      </c>
      <c r="X295" s="15">
        <v>72</v>
      </c>
    </row>
    <row r="296" spans="2:24" ht="15.75" thickBot="1" x14ac:dyDescent="0.3">
      <c r="B296" s="56"/>
      <c r="C296" s="36"/>
      <c r="D296" s="47"/>
      <c r="E296" s="15" t="s">
        <v>364</v>
      </c>
      <c r="F296" s="21"/>
      <c r="G296" s="22"/>
      <c r="H296" s="23">
        <f>(I296 *Tabelle1[[#This Row],[Umgebungsdruck]]/101325*273.15/(Tabelle1[[#This Row],[Umgebungstemperatur]]+273.15))/1.046</f>
        <v>0.71810518971371196</v>
      </c>
      <c r="I296" s="23">
        <f>Tabelle1[[#This Row],[Gasgeschwindigkeit]]*PI()*(Tabelle1[[#This Row],[Kanalmaße]]/1000)^2/4*1000000*60</f>
        <v>0.82466807156732069</v>
      </c>
      <c r="J296" s="30">
        <v>7.0000000000000007E-2</v>
      </c>
      <c r="K296" s="44">
        <f>Tabelle1[[#This Row],[Flüssigkeitsgeschwindigkeit]]*PI()*(Tabelle1[[#This Row],[Kanalmaße]]/1000)^2/4*1000000*60</f>
        <v>1.3076879420567513</v>
      </c>
      <c r="L296" s="15">
        <v>0.111</v>
      </c>
      <c r="M296" s="51">
        <v>21.9</v>
      </c>
      <c r="N296" s="51">
        <v>99690</v>
      </c>
      <c r="P296" s="15">
        <v>1</v>
      </c>
      <c r="R296" t="s">
        <v>204</v>
      </c>
      <c r="S296" s="15" t="s">
        <v>205</v>
      </c>
      <c r="T296">
        <v>0.5</v>
      </c>
      <c r="U296">
        <v>0.4</v>
      </c>
      <c r="V296" s="57">
        <v>1</v>
      </c>
      <c r="W296">
        <v>0.2</v>
      </c>
      <c r="X296" s="15">
        <v>72</v>
      </c>
    </row>
    <row r="297" spans="2:24" ht="15.75" thickBot="1" x14ac:dyDescent="0.3">
      <c r="B297" s="56"/>
      <c r="E297" s="15" t="s">
        <v>365</v>
      </c>
      <c r="F297" s="21"/>
      <c r="G297" s="22"/>
      <c r="H297" s="23">
        <f>(I297 *Tabelle1[[#This Row],[Umgebungsdruck]]/101325*273.15/(Tabelle1[[#This Row],[Umgebungstemperatur]]+273.15))/1.046</f>
        <v>1.3746585060233913</v>
      </c>
      <c r="I297" s="23">
        <f>Tabelle1[[#This Row],[Gasgeschwindigkeit]]*PI()*(Tabelle1[[#This Row],[Kanalmaße]]/1000)^2/4*1000000*60</f>
        <v>1.578650308428871</v>
      </c>
      <c r="J297" s="30">
        <v>0.13400000000000001</v>
      </c>
      <c r="K297" s="44">
        <f>Tabelle1[[#This Row],[Flüssigkeitsgeschwindigkeit]]*PI()*(Tabelle1[[#This Row],[Kanalmaße]]/1000)^2/4*1000000*60</f>
        <v>0.65973445725385649</v>
      </c>
      <c r="L297" s="15">
        <v>5.6000000000000001E-2</v>
      </c>
      <c r="M297" s="51">
        <v>21.9</v>
      </c>
      <c r="N297" s="51">
        <v>99690</v>
      </c>
      <c r="P297" s="15">
        <v>1</v>
      </c>
      <c r="R297" t="s">
        <v>204</v>
      </c>
      <c r="S297" s="15" t="s">
        <v>205</v>
      </c>
      <c r="T297">
        <v>0.5</v>
      </c>
      <c r="U297">
        <v>0.4</v>
      </c>
      <c r="V297" s="57">
        <v>1</v>
      </c>
      <c r="W297">
        <v>0.2</v>
      </c>
      <c r="X297" s="15">
        <v>72</v>
      </c>
    </row>
    <row r="298" spans="2:24" ht="15.75" thickBot="1" x14ac:dyDescent="0.3">
      <c r="B298" s="56"/>
      <c r="C298" s="36"/>
      <c r="D298" s="47"/>
      <c r="E298" s="15" t="s">
        <v>366</v>
      </c>
      <c r="F298" s="21"/>
      <c r="G298" s="22"/>
      <c r="H298" s="23">
        <f>(I298 *Tabelle1[[#This Row],[Umgebungsdruck]]/101325*273.15/(Tabelle1[[#This Row],[Umgebungstemperatur]]+273.15))/1.046</f>
        <v>1.3746585060233913</v>
      </c>
      <c r="I298" s="23">
        <f>Tabelle1[[#This Row],[Gasgeschwindigkeit]]*PI()*(Tabelle1[[#This Row],[Kanalmaße]]/1000)^2/4*1000000*60</f>
        <v>1.578650308428871</v>
      </c>
      <c r="J298" s="30">
        <v>0.13400000000000001</v>
      </c>
      <c r="K298" s="44">
        <f>Tabelle1[[#This Row],[Flüssigkeitsgeschwindigkeit]]*PI()*(Tabelle1[[#This Row],[Kanalmaße]]/1000)^2/4*1000000*60</f>
        <v>1.3076879420567513</v>
      </c>
      <c r="L298" s="15">
        <v>0.111</v>
      </c>
      <c r="M298" s="51">
        <v>21.9</v>
      </c>
      <c r="N298" s="51">
        <v>99690</v>
      </c>
      <c r="P298" s="15">
        <v>1</v>
      </c>
      <c r="R298" t="s">
        <v>204</v>
      </c>
      <c r="S298" s="15" t="s">
        <v>205</v>
      </c>
      <c r="T298">
        <v>0.5</v>
      </c>
      <c r="U298">
        <v>0.4</v>
      </c>
      <c r="V298" s="57">
        <v>1</v>
      </c>
      <c r="W298">
        <v>0.2</v>
      </c>
      <c r="X298" s="15">
        <v>72</v>
      </c>
    </row>
    <row r="299" spans="2:24" ht="15.75" thickBot="1" x14ac:dyDescent="0.3">
      <c r="B299" s="56"/>
      <c r="C299" s="36"/>
      <c r="D299" s="47"/>
      <c r="E299" s="15" t="s">
        <v>367</v>
      </c>
      <c r="F299" s="21"/>
      <c r="G299" s="22"/>
      <c r="H299" s="23">
        <f>(I299 *Tabelle1[[#This Row],[Umgebungsdruck]]/101325*273.15/(Tabelle1[[#This Row],[Umgebungstemperatur]]+273.15))/1.046</f>
        <v>1.3746585060233913</v>
      </c>
      <c r="I299" s="23">
        <f>Tabelle1[[#This Row],[Gasgeschwindigkeit]]*PI()*(Tabelle1[[#This Row],[Kanalmaße]]/1000)^2/4*1000000*60</f>
        <v>1.578650308428871</v>
      </c>
      <c r="J299" s="30">
        <v>0.13400000000000001</v>
      </c>
      <c r="K299" s="44">
        <f>Tabelle1[[#This Row],[Flüssigkeitsgeschwindigkeit]]*PI()*(Tabelle1[[#This Row],[Kanalmaße]]/1000)^2/4*1000000*60</f>
        <v>1.9674223993106079</v>
      </c>
      <c r="L299" s="15">
        <v>0.16700000000000001</v>
      </c>
      <c r="M299" s="51">
        <v>21.9</v>
      </c>
      <c r="N299" s="51">
        <v>99690</v>
      </c>
      <c r="P299" s="15">
        <v>1</v>
      </c>
      <c r="R299" t="s">
        <v>204</v>
      </c>
      <c r="S299" s="15" t="s">
        <v>205</v>
      </c>
      <c r="T299">
        <v>0.5</v>
      </c>
      <c r="U299">
        <v>0.4</v>
      </c>
      <c r="V299" s="57">
        <v>1</v>
      </c>
      <c r="W299">
        <v>0.2</v>
      </c>
      <c r="X299" s="15">
        <v>72</v>
      </c>
    </row>
    <row r="300" spans="2:24" ht="15.75" thickBot="1" x14ac:dyDescent="0.3">
      <c r="B300" s="56"/>
      <c r="E300" s="15" t="s">
        <v>368</v>
      </c>
      <c r="F300" s="21"/>
      <c r="G300" s="22"/>
      <c r="H300" s="23">
        <f>(I300 *Tabelle1[[#This Row],[Umgebungsdruck]]/101325*273.15/(Tabelle1[[#This Row],[Umgebungstemperatur]]+273.15))/1.046</f>
        <v>1.3746585060233913</v>
      </c>
      <c r="I300" s="23">
        <f>Tabelle1[[#This Row],[Gasgeschwindigkeit]]*PI()*(Tabelle1[[#This Row],[Kanalmaße]]/1000)^2/4*1000000*60</f>
        <v>1.578650308428871</v>
      </c>
      <c r="J300" s="30">
        <v>0.13400000000000001</v>
      </c>
      <c r="K300" s="44">
        <f>Tabelle1[[#This Row],[Flüssigkeitsgeschwindigkeit]]*PI()*(Tabelle1[[#This Row],[Kanalmaße]]/1000)^2/4*1000000*60</f>
        <v>2.9452431127404308</v>
      </c>
      <c r="L300" s="15">
        <v>0.25</v>
      </c>
      <c r="M300" s="51">
        <v>21.9</v>
      </c>
      <c r="N300" s="51">
        <v>99690</v>
      </c>
      <c r="P300" s="15">
        <v>1</v>
      </c>
      <c r="R300" t="s">
        <v>204</v>
      </c>
      <c r="S300" s="15" t="s">
        <v>205</v>
      </c>
      <c r="T300">
        <v>0.5</v>
      </c>
      <c r="U300">
        <v>0.4</v>
      </c>
      <c r="V300" s="57">
        <v>1</v>
      </c>
      <c r="W300">
        <v>0.2</v>
      </c>
      <c r="X300" s="15">
        <v>72</v>
      </c>
    </row>
    <row r="301" spans="2:24" ht="15.75" thickBot="1" x14ac:dyDescent="0.3">
      <c r="B301" s="56"/>
      <c r="C301" s="36"/>
      <c r="D301" s="47"/>
      <c r="E301" s="15" t="s">
        <v>369</v>
      </c>
      <c r="F301" s="21"/>
      <c r="G301" s="22"/>
      <c r="H301" s="23">
        <f>(I301 *Tabelle1[[#This Row],[Umgebungsdruck]]/101325*273.15/(Tabelle1[[#This Row],[Umgebungstemperatur]]+273.15))/1.046</f>
        <v>2.0345746839660444</v>
      </c>
      <c r="I301" s="23">
        <f>Tabelle1[[#This Row],[Gasgeschwindigkeit]]*PI()*(Tabelle1[[#This Row],[Kanalmaße]]/1000)^2/4*1000000*60</f>
        <v>2.3364944371936356</v>
      </c>
      <c r="J301" s="30">
        <v>0.19832780756591101</v>
      </c>
      <c r="K301" s="44">
        <f>Tabelle1[[#This Row],[Flüssigkeitsgeschwindigkeit]]*PI()*(Tabelle1[[#This Row],[Kanalmaße]]/1000)^2/4*1000000*60</f>
        <v>0.65973445725385649</v>
      </c>
      <c r="L301" s="15">
        <v>5.6000000000000001E-2</v>
      </c>
      <c r="M301" s="51">
        <v>21.9</v>
      </c>
      <c r="N301" s="51">
        <v>99690</v>
      </c>
      <c r="P301" s="15">
        <v>1</v>
      </c>
      <c r="R301" t="s">
        <v>204</v>
      </c>
      <c r="S301" s="15" t="s">
        <v>205</v>
      </c>
      <c r="T301">
        <v>0.5</v>
      </c>
      <c r="U301">
        <v>0.4</v>
      </c>
      <c r="V301" s="57">
        <v>1</v>
      </c>
      <c r="W301">
        <v>0.2</v>
      </c>
      <c r="X301" s="15">
        <v>72</v>
      </c>
    </row>
    <row r="302" spans="2:24" ht="15.75" thickBot="1" x14ac:dyDescent="0.3">
      <c r="B302" s="56"/>
      <c r="C302" s="36"/>
      <c r="D302" s="47"/>
      <c r="E302" s="15" t="s">
        <v>370</v>
      </c>
      <c r="F302" s="21"/>
      <c r="G302" s="22"/>
      <c r="H302" s="23">
        <f>(I302 *Tabelle1[[#This Row],[Umgebungsdruck]]/101325*273.15/(Tabelle1[[#This Row],[Umgebungstemperatur]]+273.15))/1.046</f>
        <v>2.0345746839660444</v>
      </c>
      <c r="I302" s="23">
        <f>Tabelle1[[#This Row],[Gasgeschwindigkeit]]*PI()*(Tabelle1[[#This Row],[Kanalmaße]]/1000)^2/4*1000000*60</f>
        <v>2.3364944371936356</v>
      </c>
      <c r="J302" s="30">
        <v>0.19832780756591101</v>
      </c>
      <c r="K302" s="44">
        <f>Tabelle1[[#This Row],[Flüssigkeitsgeschwindigkeit]]*PI()*(Tabelle1[[#This Row],[Kanalmaße]]/1000)^2/4*1000000*60</f>
        <v>1.3076879420567513</v>
      </c>
      <c r="L302" s="15">
        <v>0.111</v>
      </c>
      <c r="M302" s="51">
        <v>21.9</v>
      </c>
      <c r="N302" s="51">
        <v>99690</v>
      </c>
      <c r="P302" s="15">
        <v>1</v>
      </c>
      <c r="R302" t="s">
        <v>204</v>
      </c>
      <c r="S302" s="15" t="s">
        <v>205</v>
      </c>
      <c r="T302">
        <v>0.5</v>
      </c>
      <c r="U302">
        <v>0.4</v>
      </c>
      <c r="V302" s="57">
        <v>1</v>
      </c>
      <c r="W302">
        <v>0.2</v>
      </c>
      <c r="X302" s="15">
        <v>72</v>
      </c>
    </row>
    <row r="303" spans="2:24" ht="15.75" thickBot="1" x14ac:dyDescent="0.3">
      <c r="B303" s="56"/>
      <c r="E303" s="15" t="s">
        <v>371</v>
      </c>
      <c r="F303" s="21"/>
      <c r="G303" s="22"/>
      <c r="H303" s="23">
        <f>(I303 *Tabelle1[[#This Row],[Umgebungsdruck]]/101325*273.15/(Tabelle1[[#This Row],[Umgebungstemperatur]]+273.15))/1.046</f>
        <v>2.0345746839660444</v>
      </c>
      <c r="I303" s="23">
        <f>Tabelle1[[#This Row],[Gasgeschwindigkeit]]*PI()*(Tabelle1[[#This Row],[Kanalmaße]]/1000)^2/4*1000000*60</f>
        <v>2.3364944371936356</v>
      </c>
      <c r="J303" s="30">
        <v>0.19832780756591101</v>
      </c>
      <c r="K303" s="44">
        <f>Tabelle1[[#This Row],[Flüssigkeitsgeschwindigkeit]]*PI()*(Tabelle1[[#This Row],[Kanalmaße]]/1000)^2/4*1000000*60</f>
        <v>1.9674223993106079</v>
      </c>
      <c r="L303" s="15">
        <v>0.16700000000000001</v>
      </c>
      <c r="M303" s="51">
        <v>21.9</v>
      </c>
      <c r="N303" s="51">
        <v>99690</v>
      </c>
      <c r="P303" s="15">
        <v>1</v>
      </c>
      <c r="R303" t="s">
        <v>204</v>
      </c>
      <c r="S303" s="15" t="s">
        <v>205</v>
      </c>
      <c r="T303">
        <v>0.5</v>
      </c>
      <c r="U303">
        <v>0.4</v>
      </c>
      <c r="V303" s="57">
        <v>1</v>
      </c>
      <c r="W303">
        <v>0.2</v>
      </c>
      <c r="X303" s="15">
        <v>72</v>
      </c>
    </row>
    <row r="304" spans="2:24" ht="15.75" thickBot="1" x14ac:dyDescent="0.3">
      <c r="B304" s="56"/>
      <c r="C304" s="36"/>
      <c r="D304" s="47"/>
      <c r="E304" s="15" t="s">
        <v>372</v>
      </c>
      <c r="F304" s="21"/>
      <c r="G304" s="22"/>
      <c r="H304" s="23">
        <f>(I304 *Tabelle1[[#This Row],[Umgebungsdruck]]/101325*273.15/(Tabelle1[[#This Row],[Umgebungstemperatur]]+273.15))/1.046</f>
        <v>2.0345746839660444</v>
      </c>
      <c r="I304" s="23">
        <f>Tabelle1[[#This Row],[Gasgeschwindigkeit]]*PI()*(Tabelle1[[#This Row],[Kanalmaße]]/1000)^2/4*1000000*60</f>
        <v>2.3364944371936356</v>
      </c>
      <c r="J304" s="30">
        <v>0.19832780756591101</v>
      </c>
      <c r="K304" s="44">
        <f>Tabelle1[[#This Row],[Flüssigkeitsgeschwindigkeit]]*PI()*(Tabelle1[[#This Row],[Kanalmaße]]/1000)^2/4*1000000*60</f>
        <v>2.9452431127404308</v>
      </c>
      <c r="L304" s="15">
        <v>0.25</v>
      </c>
      <c r="M304" s="51">
        <v>21.9</v>
      </c>
      <c r="N304" s="51">
        <v>99690</v>
      </c>
      <c r="P304" s="15">
        <v>1</v>
      </c>
      <c r="R304" t="s">
        <v>204</v>
      </c>
      <c r="S304" s="15" t="s">
        <v>205</v>
      </c>
      <c r="T304">
        <v>0.5</v>
      </c>
      <c r="U304">
        <v>0.4</v>
      </c>
      <c r="V304" s="57">
        <v>1</v>
      </c>
      <c r="W304">
        <v>0.2</v>
      </c>
      <c r="X304" s="15">
        <v>72</v>
      </c>
    </row>
    <row r="305" spans="2:24" ht="15.75" thickBot="1" x14ac:dyDescent="0.3">
      <c r="B305" s="56"/>
      <c r="C305" s="36"/>
      <c r="D305" s="47"/>
      <c r="E305" s="15" t="s">
        <v>373</v>
      </c>
      <c r="F305" s="21"/>
      <c r="G305" s="22"/>
      <c r="H305" s="23">
        <f>(I305 *Tabelle1[[#This Row],[Umgebungsdruck]]/101325*273.15/(Tabelle1[[#This Row],[Umgebungstemperatur]]+273.15))/1.046</f>
        <v>2.6999450885967518</v>
      </c>
      <c r="I305" s="23">
        <f>Tabelle1[[#This Row],[Gasgeschwindigkeit]]*PI()*(Tabelle1[[#This Row],[Kanalmaße]]/1000)^2/4*1000000*60</f>
        <v>3.1006021700503337</v>
      </c>
      <c r="J305" s="30">
        <v>0.26318728635998301</v>
      </c>
      <c r="K305" s="44">
        <f>Tabelle1[[#This Row],[Flüssigkeitsgeschwindigkeit]]*PI()*(Tabelle1[[#This Row],[Kanalmaße]]/1000)^2/4*1000000*60</f>
        <v>0.65973445725385649</v>
      </c>
      <c r="L305" s="15">
        <v>5.6000000000000001E-2</v>
      </c>
      <c r="M305" s="51">
        <v>21.9</v>
      </c>
      <c r="N305" s="51">
        <v>99690</v>
      </c>
      <c r="P305" s="15">
        <v>1</v>
      </c>
      <c r="R305" t="s">
        <v>204</v>
      </c>
      <c r="S305" s="15" t="s">
        <v>205</v>
      </c>
      <c r="T305">
        <v>0.5</v>
      </c>
      <c r="U305">
        <v>0.4</v>
      </c>
      <c r="V305" s="57">
        <v>1</v>
      </c>
      <c r="W305">
        <v>0.2</v>
      </c>
      <c r="X305" s="15">
        <v>72</v>
      </c>
    </row>
    <row r="306" spans="2:24" ht="15.75" thickBot="1" x14ac:dyDescent="0.3">
      <c r="B306" s="56"/>
      <c r="E306" s="15" t="s">
        <v>374</v>
      </c>
      <c r="F306" s="21"/>
      <c r="G306" s="22"/>
      <c r="H306" s="23">
        <f>(I306 *Tabelle1[[#This Row],[Umgebungsdruck]]/101325*273.15/(Tabelle1[[#This Row],[Umgebungstemperatur]]+273.15))/1.046</f>
        <v>2.6999450885967518</v>
      </c>
      <c r="I306" s="23">
        <f>Tabelle1[[#This Row],[Gasgeschwindigkeit]]*PI()*(Tabelle1[[#This Row],[Kanalmaße]]/1000)^2/4*1000000*60</f>
        <v>3.1006021700503337</v>
      </c>
      <c r="J306" s="30">
        <v>0.26318728635998301</v>
      </c>
      <c r="K306" s="44">
        <f>Tabelle1[[#This Row],[Flüssigkeitsgeschwindigkeit]]*PI()*(Tabelle1[[#This Row],[Kanalmaße]]/1000)^2/4*1000000*60</f>
        <v>1.3076879420567513</v>
      </c>
      <c r="L306" s="15">
        <v>0.111</v>
      </c>
      <c r="M306" s="51">
        <v>21.9</v>
      </c>
      <c r="N306" s="51">
        <v>99690</v>
      </c>
      <c r="P306" s="15">
        <v>1</v>
      </c>
      <c r="R306" t="s">
        <v>204</v>
      </c>
      <c r="S306" s="15" t="s">
        <v>205</v>
      </c>
      <c r="T306">
        <v>0.5</v>
      </c>
      <c r="U306">
        <v>0.4</v>
      </c>
      <c r="V306" s="57">
        <v>1</v>
      </c>
      <c r="W306">
        <v>0.2</v>
      </c>
      <c r="X306" s="15">
        <v>72</v>
      </c>
    </row>
    <row r="307" spans="2:24" ht="15.75" thickBot="1" x14ac:dyDescent="0.3">
      <c r="B307" s="56"/>
      <c r="E307" s="15" t="s">
        <v>375</v>
      </c>
      <c r="F307" s="21"/>
      <c r="G307" s="22"/>
      <c r="H307" s="23">
        <f>(I307 *Tabelle1[[#This Row],[Umgebungsdruck]]/101325*273.15/(Tabelle1[[#This Row],[Umgebungstemperatur]]+273.15))/1.046</f>
        <v>2.6999450885967518</v>
      </c>
      <c r="I307" s="23">
        <f>Tabelle1[[#This Row],[Gasgeschwindigkeit]]*PI()*(Tabelle1[[#This Row],[Kanalmaße]]/1000)^2/4*1000000*60</f>
        <v>3.1006021700503337</v>
      </c>
      <c r="J307" s="30">
        <v>0.26318728635998301</v>
      </c>
      <c r="K307" s="44">
        <f>Tabelle1[[#This Row],[Flüssigkeitsgeschwindigkeit]]*PI()*(Tabelle1[[#This Row],[Kanalmaße]]/1000)^2/4*1000000*60</f>
        <v>1.9674223993106079</v>
      </c>
      <c r="L307" s="15">
        <v>0.16700000000000001</v>
      </c>
      <c r="M307" s="51">
        <v>21.9</v>
      </c>
      <c r="N307" s="51">
        <v>99690</v>
      </c>
      <c r="P307" s="15">
        <v>1</v>
      </c>
      <c r="R307" t="s">
        <v>204</v>
      </c>
      <c r="S307" s="15" t="s">
        <v>205</v>
      </c>
      <c r="T307">
        <v>0.5</v>
      </c>
      <c r="U307">
        <v>0.4</v>
      </c>
      <c r="V307" s="57">
        <v>1</v>
      </c>
      <c r="W307">
        <v>0.2</v>
      </c>
      <c r="X307" s="15">
        <v>72</v>
      </c>
    </row>
    <row r="308" spans="2:24" x14ac:dyDescent="0.25">
      <c r="B308" s="58"/>
      <c r="E308" s="42" t="s">
        <v>376</v>
      </c>
      <c r="F308" s="21"/>
      <c r="G308" s="43"/>
      <c r="H308" s="23">
        <f>(I308 *Tabelle1[[#This Row],[Umgebungsdruck]]/101325*273.15/(Tabelle1[[#This Row],[Umgebungstemperatur]]+273.15))/1.046</f>
        <v>2.6999450885967518</v>
      </c>
      <c r="I308" s="44">
        <f>Tabelle1[[#This Row],[Gasgeschwindigkeit]]*PI()*(Tabelle1[[#This Row],[Kanalmaße]]/1000)^2/4*1000000*60</f>
        <v>3.1006021700503337</v>
      </c>
      <c r="J308" s="45">
        <v>0.26318728635998301</v>
      </c>
      <c r="K308" s="44">
        <f>Tabelle1[[#This Row],[Flüssigkeitsgeschwindigkeit]]*PI()*(Tabelle1[[#This Row],[Kanalmaße]]/1000)^2/4*1000000*60</f>
        <v>2.9452431127404308</v>
      </c>
      <c r="L308" s="42">
        <v>0.25</v>
      </c>
      <c r="M308" s="51">
        <v>21.9</v>
      </c>
      <c r="N308" s="51">
        <v>99690</v>
      </c>
      <c r="O308" s="42"/>
      <c r="P308" s="42">
        <v>1</v>
      </c>
      <c r="Q308" s="42"/>
      <c r="R308" s="42" t="s">
        <v>204</v>
      </c>
      <c r="S308" s="42" t="s">
        <v>205</v>
      </c>
      <c r="T308" s="42">
        <v>0.5</v>
      </c>
      <c r="U308" s="42">
        <v>0.4</v>
      </c>
      <c r="V308" s="59">
        <v>1</v>
      </c>
      <c r="W308">
        <v>0.2</v>
      </c>
      <c r="X308" s="15">
        <v>72</v>
      </c>
    </row>
    <row r="309" spans="2:24" x14ac:dyDescent="0.25">
      <c r="B309" s="60"/>
      <c r="E309" s="36" t="s">
        <v>377</v>
      </c>
      <c r="F309" s="61"/>
      <c r="G309" s="37"/>
      <c r="H309" s="23">
        <f>(I309 *Tabelle1[[#This Row],[Umgebungsdruck]]/101325*273.15/(Tabelle1[[#This Row],[Umgebungstemperatur]]+273.15))/1.046</f>
        <v>0</v>
      </c>
      <c r="I309" s="23">
        <f>Tabelle1[[#This Row],[Gasgeschwindigkeit]]*PI()*(Tabelle1[[#This Row],[Kanalmaße]]/1000)^2/4*1000000*60</f>
        <v>0.82466807156732069</v>
      </c>
      <c r="J309" s="39">
        <v>7.0000000000000007E-2</v>
      </c>
      <c r="K309" s="44">
        <f>Tabelle1[[#This Row],[Flüssigkeitsgeschwindigkeit]]*PI()*(Tabelle1[[#This Row],[Kanalmaße]]/1000)^2/4*1000000*60</f>
        <v>0.65973445725385649</v>
      </c>
      <c r="L309" s="36">
        <v>5.6000000000000001E-2</v>
      </c>
      <c r="M309" s="36"/>
      <c r="N309" s="36"/>
      <c r="O309" s="36"/>
      <c r="P309" s="36">
        <v>2</v>
      </c>
      <c r="Q309" s="36"/>
      <c r="R309" s="36" t="s">
        <v>204</v>
      </c>
      <c r="S309" s="36" t="s">
        <v>205</v>
      </c>
      <c r="T309" s="36">
        <v>0.5</v>
      </c>
      <c r="U309" s="36">
        <v>0.4</v>
      </c>
      <c r="V309" s="62">
        <v>1</v>
      </c>
      <c r="W309">
        <v>0.2</v>
      </c>
      <c r="X309" s="15">
        <v>72</v>
      </c>
    </row>
    <row r="310" spans="2:24" x14ac:dyDescent="0.25">
      <c r="B310" s="56"/>
      <c r="E310" s="15" t="s">
        <v>378</v>
      </c>
      <c r="F310" s="21"/>
      <c r="G310" s="22"/>
      <c r="H310" s="23">
        <f>(I310 *Tabelle1[[#This Row],[Umgebungsdruck]]/101325*273.15/(Tabelle1[[#This Row],[Umgebungstemperatur]]+273.15))/1.046</f>
        <v>0</v>
      </c>
      <c r="I310" s="23">
        <f>Tabelle1[[#This Row],[Gasgeschwindigkeit]]*PI()*(Tabelle1[[#This Row],[Kanalmaße]]/1000)^2/4*1000000*60</f>
        <v>0.82466807156732069</v>
      </c>
      <c r="J310" s="30">
        <v>7.0000000000000007E-2</v>
      </c>
      <c r="K310" s="44">
        <f>Tabelle1[[#This Row],[Flüssigkeitsgeschwindigkeit]]*PI()*(Tabelle1[[#This Row],[Kanalmaße]]/1000)^2/4*1000000*60</f>
        <v>1.3076879420567513</v>
      </c>
      <c r="L310" s="15">
        <v>0.111</v>
      </c>
      <c r="P310" s="15">
        <v>2</v>
      </c>
      <c r="R310" t="s">
        <v>204</v>
      </c>
      <c r="S310" s="15" t="s">
        <v>205</v>
      </c>
      <c r="T310">
        <v>0.5</v>
      </c>
      <c r="U310">
        <v>0.4</v>
      </c>
      <c r="V310" s="57">
        <v>1</v>
      </c>
      <c r="W310">
        <v>0.2</v>
      </c>
      <c r="X310" s="15">
        <v>72</v>
      </c>
    </row>
    <row r="311" spans="2:24" x14ac:dyDescent="0.25">
      <c r="B311" s="56"/>
      <c r="E311" s="15" t="s">
        <v>379</v>
      </c>
      <c r="F311" s="21"/>
      <c r="G311" s="22"/>
      <c r="H311" s="23">
        <f>(I311 *Tabelle1[[#This Row],[Umgebungsdruck]]/101325*273.15/(Tabelle1[[#This Row],[Umgebungstemperatur]]+273.15))/1.046</f>
        <v>0</v>
      </c>
      <c r="I311" s="23">
        <f>Tabelle1[[#This Row],[Gasgeschwindigkeit]]*PI()*(Tabelle1[[#This Row],[Kanalmaße]]/1000)^2/4*1000000*60</f>
        <v>1.578650308428871</v>
      </c>
      <c r="J311" s="30">
        <v>0.13400000000000001</v>
      </c>
      <c r="K311" s="44">
        <f>Tabelle1[[#This Row],[Flüssigkeitsgeschwindigkeit]]*PI()*(Tabelle1[[#This Row],[Kanalmaße]]/1000)^2/4*1000000*60</f>
        <v>0.65973445725385649</v>
      </c>
      <c r="L311" s="15">
        <v>5.6000000000000001E-2</v>
      </c>
      <c r="P311" s="15">
        <v>2</v>
      </c>
      <c r="R311" t="s">
        <v>204</v>
      </c>
      <c r="S311" s="15" t="s">
        <v>205</v>
      </c>
      <c r="T311">
        <v>0.5</v>
      </c>
      <c r="U311">
        <v>0.4</v>
      </c>
      <c r="V311" s="57">
        <v>1</v>
      </c>
      <c r="W311">
        <v>0.2</v>
      </c>
      <c r="X311" s="15">
        <v>72</v>
      </c>
    </row>
    <row r="312" spans="2:24" x14ac:dyDescent="0.25">
      <c r="B312" s="56"/>
      <c r="E312" s="15" t="s">
        <v>380</v>
      </c>
      <c r="F312" s="21"/>
      <c r="G312" s="22"/>
      <c r="H312" s="23">
        <f>(I312 *Tabelle1[[#This Row],[Umgebungsdruck]]/101325*273.15/(Tabelle1[[#This Row],[Umgebungstemperatur]]+273.15))/1.046</f>
        <v>0</v>
      </c>
      <c r="I312" s="23">
        <f>Tabelle1[[#This Row],[Gasgeschwindigkeit]]*PI()*(Tabelle1[[#This Row],[Kanalmaße]]/1000)^2/4*1000000*60</f>
        <v>1.578650308428871</v>
      </c>
      <c r="J312" s="30">
        <v>0.13400000000000001</v>
      </c>
      <c r="K312" s="44">
        <f>Tabelle1[[#This Row],[Flüssigkeitsgeschwindigkeit]]*PI()*(Tabelle1[[#This Row],[Kanalmaße]]/1000)^2/4*1000000*60</f>
        <v>1.3076879420567513</v>
      </c>
      <c r="L312" s="15">
        <v>0.111</v>
      </c>
      <c r="P312" s="15">
        <v>2</v>
      </c>
      <c r="R312" t="s">
        <v>204</v>
      </c>
      <c r="S312" s="15" t="s">
        <v>205</v>
      </c>
      <c r="T312">
        <v>0.5</v>
      </c>
      <c r="U312">
        <v>0.4</v>
      </c>
      <c r="V312" s="57">
        <v>1</v>
      </c>
      <c r="W312">
        <v>0.2</v>
      </c>
      <c r="X312" s="15">
        <v>72</v>
      </c>
    </row>
    <row r="313" spans="2:24" x14ac:dyDescent="0.25">
      <c r="B313" s="56"/>
      <c r="E313" s="15" t="s">
        <v>381</v>
      </c>
      <c r="F313" s="21"/>
      <c r="G313" s="22"/>
      <c r="H313" s="23">
        <f>(I313 *Tabelle1[[#This Row],[Umgebungsdruck]]/101325*273.15/(Tabelle1[[#This Row],[Umgebungstemperatur]]+273.15))/1.046</f>
        <v>0</v>
      </c>
      <c r="I313" s="23">
        <f>Tabelle1[[#This Row],[Gasgeschwindigkeit]]*PI()*(Tabelle1[[#This Row],[Kanalmaße]]/1000)^2/4*1000000*60</f>
        <v>1.578650308428871</v>
      </c>
      <c r="J313" s="30">
        <v>0.13400000000000001</v>
      </c>
      <c r="K313" s="44">
        <f>Tabelle1[[#This Row],[Flüssigkeitsgeschwindigkeit]]*PI()*(Tabelle1[[#This Row],[Kanalmaße]]/1000)^2/4*1000000*60</f>
        <v>1.9674223993106079</v>
      </c>
      <c r="L313" s="15">
        <v>0.16700000000000001</v>
      </c>
      <c r="P313" s="15">
        <v>2</v>
      </c>
      <c r="R313" t="s">
        <v>204</v>
      </c>
      <c r="S313" s="15" t="s">
        <v>205</v>
      </c>
      <c r="T313">
        <v>0.5</v>
      </c>
      <c r="U313">
        <v>0.4</v>
      </c>
      <c r="V313" s="57">
        <v>1</v>
      </c>
      <c r="W313">
        <v>0.2</v>
      </c>
      <c r="X313" s="15">
        <v>72</v>
      </c>
    </row>
    <row r="314" spans="2:24" x14ac:dyDescent="0.25">
      <c r="B314" s="56"/>
      <c r="E314" s="15" t="s">
        <v>382</v>
      </c>
      <c r="F314" s="21"/>
      <c r="G314" s="22"/>
      <c r="H314" s="23">
        <f>(I314 *Tabelle1[[#This Row],[Umgebungsdruck]]/101325*273.15/(Tabelle1[[#This Row],[Umgebungstemperatur]]+273.15))/1.046</f>
        <v>0</v>
      </c>
      <c r="I314" s="23">
        <f>Tabelle1[[#This Row],[Gasgeschwindigkeit]]*PI()*(Tabelle1[[#This Row],[Kanalmaße]]/1000)^2/4*1000000*60</f>
        <v>1.578650308428871</v>
      </c>
      <c r="J314" s="30">
        <v>0.13400000000000001</v>
      </c>
      <c r="K314" s="44">
        <f>Tabelle1[[#This Row],[Flüssigkeitsgeschwindigkeit]]*PI()*(Tabelle1[[#This Row],[Kanalmaße]]/1000)^2/4*1000000*60</f>
        <v>2.9452431127404308</v>
      </c>
      <c r="L314" s="15">
        <v>0.25</v>
      </c>
      <c r="P314" s="15">
        <v>2</v>
      </c>
      <c r="R314" t="s">
        <v>204</v>
      </c>
      <c r="S314" s="15" t="s">
        <v>205</v>
      </c>
      <c r="T314">
        <v>0.5</v>
      </c>
      <c r="U314">
        <v>0.4</v>
      </c>
      <c r="V314" s="57">
        <v>1</v>
      </c>
      <c r="W314">
        <v>0.2</v>
      </c>
      <c r="X314" s="15">
        <v>72</v>
      </c>
    </row>
    <row r="315" spans="2:24" x14ac:dyDescent="0.25">
      <c r="B315" s="56"/>
      <c r="E315" s="15" t="s">
        <v>383</v>
      </c>
      <c r="F315" s="21"/>
      <c r="G315" s="22"/>
      <c r="H315" s="23">
        <f>(I315 *Tabelle1[[#This Row],[Umgebungsdruck]]/101325*273.15/(Tabelle1[[#This Row],[Umgebungstemperatur]]+273.15))/1.046</f>
        <v>0</v>
      </c>
      <c r="I315" s="23">
        <f>Tabelle1[[#This Row],[Gasgeschwindigkeit]]*PI()*(Tabelle1[[#This Row],[Kanalmaße]]/1000)^2/4*1000000*60</f>
        <v>2.3364944371936356</v>
      </c>
      <c r="J315" s="30">
        <v>0.19832780756591101</v>
      </c>
      <c r="K315" s="44">
        <f>Tabelle1[[#This Row],[Flüssigkeitsgeschwindigkeit]]*PI()*(Tabelle1[[#This Row],[Kanalmaße]]/1000)^2/4*1000000*60</f>
        <v>0.65973445725385649</v>
      </c>
      <c r="L315" s="15">
        <v>5.6000000000000001E-2</v>
      </c>
      <c r="P315" s="15">
        <v>2</v>
      </c>
      <c r="R315" t="s">
        <v>204</v>
      </c>
      <c r="S315" s="15" t="s">
        <v>205</v>
      </c>
      <c r="T315">
        <v>0.5</v>
      </c>
      <c r="U315">
        <v>0.4</v>
      </c>
      <c r="V315" s="57">
        <v>1</v>
      </c>
      <c r="W315">
        <v>0.2</v>
      </c>
      <c r="X315" s="15">
        <v>72</v>
      </c>
    </row>
    <row r="316" spans="2:24" x14ac:dyDescent="0.25">
      <c r="B316" s="56"/>
      <c r="E316" s="15" t="s">
        <v>384</v>
      </c>
      <c r="F316" s="21"/>
      <c r="G316" s="22"/>
      <c r="H316" s="23">
        <f>(I316 *Tabelle1[[#This Row],[Umgebungsdruck]]/101325*273.15/(Tabelle1[[#This Row],[Umgebungstemperatur]]+273.15))/1.046</f>
        <v>0</v>
      </c>
      <c r="I316" s="23">
        <f>Tabelle1[[#This Row],[Gasgeschwindigkeit]]*PI()*(Tabelle1[[#This Row],[Kanalmaße]]/1000)^2/4*1000000*60</f>
        <v>2.3364944371936356</v>
      </c>
      <c r="J316" s="30">
        <v>0.19832780756591101</v>
      </c>
      <c r="K316" s="44">
        <f>Tabelle1[[#This Row],[Flüssigkeitsgeschwindigkeit]]*PI()*(Tabelle1[[#This Row],[Kanalmaße]]/1000)^2/4*1000000*60</f>
        <v>1.3076879420567513</v>
      </c>
      <c r="L316" s="15">
        <v>0.111</v>
      </c>
      <c r="P316" s="15">
        <v>2</v>
      </c>
      <c r="R316" t="s">
        <v>204</v>
      </c>
      <c r="S316" s="15" t="s">
        <v>205</v>
      </c>
      <c r="T316">
        <v>0.5</v>
      </c>
      <c r="U316">
        <v>0.4</v>
      </c>
      <c r="V316" s="57">
        <v>1</v>
      </c>
      <c r="W316">
        <v>0.2</v>
      </c>
      <c r="X316" s="15">
        <v>72</v>
      </c>
    </row>
    <row r="317" spans="2:24" x14ac:dyDescent="0.25">
      <c r="B317" s="56"/>
      <c r="E317" s="15" t="s">
        <v>385</v>
      </c>
      <c r="F317" s="21"/>
      <c r="G317" s="22"/>
      <c r="H317" s="23">
        <f>(I317 *Tabelle1[[#This Row],[Umgebungsdruck]]/101325*273.15/(Tabelle1[[#This Row],[Umgebungstemperatur]]+273.15))/1.046</f>
        <v>0</v>
      </c>
      <c r="I317" s="23">
        <f>Tabelle1[[#This Row],[Gasgeschwindigkeit]]*PI()*(Tabelle1[[#This Row],[Kanalmaße]]/1000)^2/4*1000000*60</f>
        <v>2.3364944371936356</v>
      </c>
      <c r="J317" s="30">
        <v>0.19832780756591101</v>
      </c>
      <c r="K317" s="44">
        <f>Tabelle1[[#This Row],[Flüssigkeitsgeschwindigkeit]]*PI()*(Tabelle1[[#This Row],[Kanalmaße]]/1000)^2/4*1000000*60</f>
        <v>1.9674223993106079</v>
      </c>
      <c r="L317" s="15">
        <v>0.16700000000000001</v>
      </c>
      <c r="P317" s="15">
        <v>2</v>
      </c>
      <c r="R317" t="s">
        <v>204</v>
      </c>
      <c r="S317" s="15" t="s">
        <v>205</v>
      </c>
      <c r="T317">
        <v>0.5</v>
      </c>
      <c r="U317">
        <v>0.4</v>
      </c>
      <c r="V317" s="57">
        <v>1</v>
      </c>
      <c r="W317">
        <v>0.2</v>
      </c>
      <c r="X317" s="15">
        <v>72</v>
      </c>
    </row>
    <row r="318" spans="2:24" x14ac:dyDescent="0.25">
      <c r="B318" s="56"/>
      <c r="E318" s="15" t="s">
        <v>386</v>
      </c>
      <c r="F318" s="21"/>
      <c r="G318" s="22"/>
      <c r="H318" s="23">
        <f>(I318 *Tabelle1[[#This Row],[Umgebungsdruck]]/101325*273.15/(Tabelle1[[#This Row],[Umgebungstemperatur]]+273.15))/1.046</f>
        <v>0</v>
      </c>
      <c r="I318" s="23">
        <f>Tabelle1[[#This Row],[Gasgeschwindigkeit]]*PI()*(Tabelle1[[#This Row],[Kanalmaße]]/1000)^2/4*1000000*60</f>
        <v>2.3364944371936356</v>
      </c>
      <c r="J318" s="30">
        <v>0.19832780756591101</v>
      </c>
      <c r="K318" s="44">
        <f>Tabelle1[[#This Row],[Flüssigkeitsgeschwindigkeit]]*PI()*(Tabelle1[[#This Row],[Kanalmaße]]/1000)^2/4*1000000*60</f>
        <v>2.9452431127404308</v>
      </c>
      <c r="L318" s="15">
        <v>0.25</v>
      </c>
      <c r="P318" s="15">
        <v>2</v>
      </c>
      <c r="R318" t="s">
        <v>204</v>
      </c>
      <c r="S318" s="15" t="s">
        <v>205</v>
      </c>
      <c r="T318">
        <v>0.5</v>
      </c>
      <c r="U318">
        <v>0.4</v>
      </c>
      <c r="V318" s="57">
        <v>1</v>
      </c>
      <c r="W318">
        <v>0.2</v>
      </c>
      <c r="X318" s="15">
        <v>72</v>
      </c>
    </row>
    <row r="319" spans="2:24" x14ac:dyDescent="0.25">
      <c r="B319" s="56"/>
      <c r="E319" s="15" t="s">
        <v>387</v>
      </c>
      <c r="F319" s="21"/>
      <c r="G319" s="22"/>
      <c r="H319" s="23">
        <f>(I319 *Tabelle1[[#This Row],[Umgebungsdruck]]/101325*273.15/(Tabelle1[[#This Row],[Umgebungstemperatur]]+273.15))/1.046</f>
        <v>0</v>
      </c>
      <c r="I319" s="23">
        <f>Tabelle1[[#This Row],[Gasgeschwindigkeit]]*PI()*(Tabelle1[[#This Row],[Kanalmaße]]/1000)^2/4*1000000*60</f>
        <v>3.1006021700503337</v>
      </c>
      <c r="J319" s="30">
        <v>0.26318728635998301</v>
      </c>
      <c r="K319" s="44">
        <f>Tabelle1[[#This Row],[Flüssigkeitsgeschwindigkeit]]*PI()*(Tabelle1[[#This Row],[Kanalmaße]]/1000)^2/4*1000000*60</f>
        <v>0.65973445725385649</v>
      </c>
      <c r="L319" s="15">
        <v>5.6000000000000001E-2</v>
      </c>
      <c r="P319" s="15">
        <v>2</v>
      </c>
      <c r="R319" t="s">
        <v>204</v>
      </c>
      <c r="S319" s="15" t="s">
        <v>205</v>
      </c>
      <c r="T319">
        <v>0.5</v>
      </c>
      <c r="U319">
        <v>0.4</v>
      </c>
      <c r="V319" s="57">
        <v>1</v>
      </c>
      <c r="W319">
        <v>0.2</v>
      </c>
      <c r="X319" s="15">
        <v>72</v>
      </c>
    </row>
    <row r="320" spans="2:24" x14ac:dyDescent="0.25">
      <c r="B320" s="56"/>
      <c r="E320" s="15" t="s">
        <v>388</v>
      </c>
      <c r="F320" s="21"/>
      <c r="G320" s="22"/>
      <c r="H320" s="23">
        <f>(I320 *Tabelle1[[#This Row],[Umgebungsdruck]]/101325*273.15/(Tabelle1[[#This Row],[Umgebungstemperatur]]+273.15))/1.046</f>
        <v>0</v>
      </c>
      <c r="I320" s="23">
        <f>Tabelle1[[#This Row],[Gasgeschwindigkeit]]*PI()*(Tabelle1[[#This Row],[Kanalmaße]]/1000)^2/4*1000000*60</f>
        <v>3.1006021700503337</v>
      </c>
      <c r="J320" s="30">
        <v>0.26318728635998301</v>
      </c>
      <c r="K320" s="44">
        <f>Tabelle1[[#This Row],[Flüssigkeitsgeschwindigkeit]]*PI()*(Tabelle1[[#This Row],[Kanalmaße]]/1000)^2/4*1000000*60</f>
        <v>1.3076879420567513</v>
      </c>
      <c r="L320" s="15">
        <v>0.111</v>
      </c>
      <c r="P320" s="15">
        <v>2</v>
      </c>
      <c r="R320" t="s">
        <v>204</v>
      </c>
      <c r="S320" s="15" t="s">
        <v>205</v>
      </c>
      <c r="T320">
        <v>0.5</v>
      </c>
      <c r="U320">
        <v>0.4</v>
      </c>
      <c r="V320" s="57">
        <v>1</v>
      </c>
      <c r="W320">
        <v>0.2</v>
      </c>
      <c r="X320" s="15">
        <v>72</v>
      </c>
    </row>
    <row r="321" spans="2:24" x14ac:dyDescent="0.25">
      <c r="B321" s="56"/>
      <c r="E321" s="15" t="s">
        <v>389</v>
      </c>
      <c r="F321" s="21"/>
      <c r="G321" s="22"/>
      <c r="H321" s="23">
        <f>(I321 *Tabelle1[[#This Row],[Umgebungsdruck]]/101325*273.15/(Tabelle1[[#This Row],[Umgebungstemperatur]]+273.15))/1.046</f>
        <v>0</v>
      </c>
      <c r="I321" s="23">
        <f>Tabelle1[[#This Row],[Gasgeschwindigkeit]]*PI()*(Tabelle1[[#This Row],[Kanalmaße]]/1000)^2/4*1000000*60</f>
        <v>3.1006021700503337</v>
      </c>
      <c r="J321" s="30">
        <v>0.26318728635998301</v>
      </c>
      <c r="K321" s="44">
        <f>Tabelle1[[#This Row],[Flüssigkeitsgeschwindigkeit]]*PI()*(Tabelle1[[#This Row],[Kanalmaße]]/1000)^2/4*1000000*60</f>
        <v>1.9674223993106079</v>
      </c>
      <c r="L321" s="15">
        <v>0.16700000000000001</v>
      </c>
      <c r="P321" s="15">
        <v>2</v>
      </c>
      <c r="R321" t="s">
        <v>204</v>
      </c>
      <c r="S321" s="15" t="s">
        <v>205</v>
      </c>
      <c r="T321">
        <v>0.5</v>
      </c>
      <c r="U321">
        <v>0.4</v>
      </c>
      <c r="V321" s="57">
        <v>1</v>
      </c>
      <c r="W321">
        <v>0.2</v>
      </c>
      <c r="X321" s="15">
        <v>72</v>
      </c>
    </row>
    <row r="322" spans="2:24" x14ac:dyDescent="0.25">
      <c r="B322" s="58"/>
      <c r="C322" s="42"/>
      <c r="D322" s="42"/>
      <c r="E322" s="42" t="s">
        <v>390</v>
      </c>
      <c r="F322" s="63"/>
      <c r="G322" s="43"/>
      <c r="H322" s="23">
        <f>(I322 *Tabelle1[[#This Row],[Umgebungsdruck]]/101325*273.15/(Tabelle1[[#This Row],[Umgebungstemperatur]]+273.15))/1.046</f>
        <v>0</v>
      </c>
      <c r="I322" s="44">
        <f>Tabelle1[[#This Row],[Gasgeschwindigkeit]]*PI()*(Tabelle1[[#This Row],[Kanalmaße]]/1000)^2/4*1000000*60</f>
        <v>3.1006021700503337</v>
      </c>
      <c r="J322" s="45">
        <v>0.26318728635998301</v>
      </c>
      <c r="K322" s="44">
        <f>Tabelle1[[#This Row],[Flüssigkeitsgeschwindigkeit]]*PI()*(Tabelle1[[#This Row],[Kanalmaße]]/1000)^2/4*1000000*60</f>
        <v>2.9452431127404308</v>
      </c>
      <c r="L322" s="42">
        <v>0.25</v>
      </c>
      <c r="M322" s="42"/>
      <c r="N322" s="42"/>
      <c r="O322" s="42"/>
      <c r="P322" s="42">
        <v>2</v>
      </c>
      <c r="Q322" s="42"/>
      <c r="R322" s="42" t="s">
        <v>204</v>
      </c>
      <c r="S322" s="42" t="s">
        <v>205</v>
      </c>
      <c r="T322" s="42">
        <v>0.5</v>
      </c>
      <c r="U322" s="42">
        <v>0.4</v>
      </c>
      <c r="V322" s="59">
        <v>1</v>
      </c>
      <c r="W322">
        <v>0.2</v>
      </c>
      <c r="X322" s="15">
        <v>72</v>
      </c>
    </row>
    <row r="323" spans="2:24" x14ac:dyDescent="0.25">
      <c r="B323" s="56"/>
      <c r="E323" s="15" t="s">
        <v>391</v>
      </c>
      <c r="F323" s="21"/>
      <c r="G323" s="22"/>
      <c r="H323" s="23">
        <f>(I323 *Tabelle1[[#This Row],[Umgebungsdruck]]/101325*273.15/(Tabelle1[[#This Row],[Umgebungstemperatur]]+273.15))/1.046</f>
        <v>0</v>
      </c>
      <c r="I323" s="23">
        <f>Tabelle1[[#This Row],[Gasgeschwindigkeit]]*PI()*(Tabelle1[[#This Row],[Kanalmaße]]/1000)^2/4*1000000*60</f>
        <v>0.82466807156732069</v>
      </c>
      <c r="J323" s="30">
        <v>7.0000000000000007E-2</v>
      </c>
      <c r="K323" s="44">
        <f>Tabelle1[[#This Row],[Flüssigkeitsgeschwindigkeit]]*PI()*(Tabelle1[[#This Row],[Kanalmaße]]/1000)^2/4*1000000*60</f>
        <v>0.65973445725385649</v>
      </c>
      <c r="L323" s="15">
        <v>5.6000000000000001E-2</v>
      </c>
      <c r="P323" s="15">
        <v>3</v>
      </c>
      <c r="R323" t="s">
        <v>204</v>
      </c>
      <c r="S323" s="15" t="s">
        <v>205</v>
      </c>
      <c r="T323">
        <v>0.5</v>
      </c>
      <c r="U323">
        <v>0.4</v>
      </c>
      <c r="V323" s="57">
        <v>1</v>
      </c>
      <c r="W323">
        <v>0.2</v>
      </c>
      <c r="X323" s="15">
        <v>72</v>
      </c>
    </row>
    <row r="324" spans="2:24" x14ac:dyDescent="0.25">
      <c r="B324" s="56"/>
      <c r="E324" s="15" t="s">
        <v>392</v>
      </c>
      <c r="F324" s="21"/>
      <c r="G324" s="22"/>
      <c r="H324" s="23">
        <f>(I324 *Tabelle1[[#This Row],[Umgebungsdruck]]/101325*273.15/(Tabelle1[[#This Row],[Umgebungstemperatur]]+273.15))/1.046</f>
        <v>0</v>
      </c>
      <c r="I324" s="23">
        <f>Tabelle1[[#This Row],[Gasgeschwindigkeit]]*PI()*(Tabelle1[[#This Row],[Kanalmaße]]/1000)^2/4*1000000*60</f>
        <v>0.82466807156732069</v>
      </c>
      <c r="J324" s="30">
        <v>7.0000000000000007E-2</v>
      </c>
      <c r="K324" s="44">
        <f>Tabelle1[[#This Row],[Flüssigkeitsgeschwindigkeit]]*PI()*(Tabelle1[[#This Row],[Kanalmaße]]/1000)^2/4*1000000*60</f>
        <v>1.3076879420567513</v>
      </c>
      <c r="L324" s="15">
        <v>0.111</v>
      </c>
      <c r="M324" s="48"/>
      <c r="N324" s="49"/>
      <c r="P324" s="15">
        <v>3</v>
      </c>
      <c r="R324" t="s">
        <v>204</v>
      </c>
      <c r="S324" s="15" t="s">
        <v>205</v>
      </c>
      <c r="T324">
        <v>0.5</v>
      </c>
      <c r="U324">
        <v>0.4</v>
      </c>
      <c r="V324" s="57">
        <v>1</v>
      </c>
      <c r="W324">
        <v>0.2</v>
      </c>
      <c r="X324" s="15">
        <v>72</v>
      </c>
    </row>
    <row r="325" spans="2:24" x14ac:dyDescent="0.25">
      <c r="B325" s="56"/>
      <c r="E325" s="15" t="s">
        <v>393</v>
      </c>
      <c r="F325" s="21"/>
      <c r="G325" s="22"/>
      <c r="H325" s="23">
        <f>(I325 *Tabelle1[[#This Row],[Umgebungsdruck]]/101325*273.15/(Tabelle1[[#This Row],[Umgebungstemperatur]]+273.15))/1.046</f>
        <v>0</v>
      </c>
      <c r="I325" s="23">
        <f>Tabelle1[[#This Row],[Gasgeschwindigkeit]]*PI()*(Tabelle1[[#This Row],[Kanalmaße]]/1000)^2/4*1000000*60</f>
        <v>1.578650308428871</v>
      </c>
      <c r="J325" s="30">
        <v>0.13400000000000001</v>
      </c>
      <c r="K325" s="44">
        <f>Tabelle1[[#This Row],[Flüssigkeitsgeschwindigkeit]]*PI()*(Tabelle1[[#This Row],[Kanalmaße]]/1000)^2/4*1000000*60</f>
        <v>0.65973445725385649</v>
      </c>
      <c r="L325" s="15">
        <v>5.6000000000000001E-2</v>
      </c>
      <c r="P325" s="15">
        <v>3</v>
      </c>
      <c r="R325" t="s">
        <v>204</v>
      </c>
      <c r="S325" s="15" t="s">
        <v>205</v>
      </c>
      <c r="T325">
        <v>0.5</v>
      </c>
      <c r="U325">
        <v>0.4</v>
      </c>
      <c r="V325" s="57">
        <v>1</v>
      </c>
      <c r="W325">
        <v>0.2</v>
      </c>
      <c r="X325" s="15">
        <v>72</v>
      </c>
    </row>
    <row r="326" spans="2:24" x14ac:dyDescent="0.25">
      <c r="B326" s="56"/>
      <c r="E326" s="15" t="s">
        <v>394</v>
      </c>
      <c r="F326" s="21"/>
      <c r="G326" s="22"/>
      <c r="H326" s="23">
        <f>(I326 *Tabelle1[[#This Row],[Umgebungsdruck]]/101325*273.15/(Tabelle1[[#This Row],[Umgebungstemperatur]]+273.15))/1.046</f>
        <v>0</v>
      </c>
      <c r="I326" s="23">
        <f>Tabelle1[[#This Row],[Gasgeschwindigkeit]]*PI()*(Tabelle1[[#This Row],[Kanalmaße]]/1000)^2/4*1000000*60</f>
        <v>1.578650308428871</v>
      </c>
      <c r="J326" s="30">
        <v>0.13400000000000001</v>
      </c>
      <c r="K326" s="44">
        <f>Tabelle1[[#This Row],[Flüssigkeitsgeschwindigkeit]]*PI()*(Tabelle1[[#This Row],[Kanalmaße]]/1000)^2/4*1000000*60</f>
        <v>1.3076879420567513</v>
      </c>
      <c r="L326" s="15">
        <v>0.111</v>
      </c>
      <c r="P326" s="15">
        <v>3</v>
      </c>
      <c r="R326" t="s">
        <v>204</v>
      </c>
      <c r="S326" s="15" t="s">
        <v>205</v>
      </c>
      <c r="T326">
        <v>0.5</v>
      </c>
      <c r="U326">
        <v>0.4</v>
      </c>
      <c r="V326" s="57">
        <v>1</v>
      </c>
      <c r="W326">
        <v>0.2</v>
      </c>
      <c r="X326" s="15">
        <v>72</v>
      </c>
    </row>
    <row r="327" spans="2:24" x14ac:dyDescent="0.25">
      <c r="B327" s="56"/>
      <c r="E327" s="15" t="s">
        <v>395</v>
      </c>
      <c r="F327" s="21"/>
      <c r="G327" s="22"/>
      <c r="H327" s="23">
        <f>(I327 *Tabelle1[[#This Row],[Umgebungsdruck]]/101325*273.15/(Tabelle1[[#This Row],[Umgebungstemperatur]]+273.15))/1.046</f>
        <v>0</v>
      </c>
      <c r="I327" s="23">
        <f>Tabelle1[[#This Row],[Gasgeschwindigkeit]]*PI()*(Tabelle1[[#This Row],[Kanalmaße]]/1000)^2/4*1000000*60</f>
        <v>1.578650308428871</v>
      </c>
      <c r="J327" s="30">
        <v>0.13400000000000001</v>
      </c>
      <c r="K327" s="44">
        <f>Tabelle1[[#This Row],[Flüssigkeitsgeschwindigkeit]]*PI()*(Tabelle1[[#This Row],[Kanalmaße]]/1000)^2/4*1000000*60</f>
        <v>1.9674223993106079</v>
      </c>
      <c r="L327" s="15">
        <v>0.16700000000000001</v>
      </c>
      <c r="P327" s="15">
        <v>3</v>
      </c>
      <c r="R327" t="s">
        <v>204</v>
      </c>
      <c r="S327" s="15" t="s">
        <v>205</v>
      </c>
      <c r="T327">
        <v>0.5</v>
      </c>
      <c r="U327">
        <v>0.4</v>
      </c>
      <c r="V327" s="57">
        <v>1</v>
      </c>
      <c r="W327">
        <v>0.2</v>
      </c>
      <c r="X327" s="15">
        <v>72</v>
      </c>
    </row>
    <row r="328" spans="2:24" x14ac:dyDescent="0.25">
      <c r="B328" s="56"/>
      <c r="E328" s="15" t="s">
        <v>396</v>
      </c>
      <c r="F328" s="21"/>
      <c r="G328" s="22"/>
      <c r="H328" s="23">
        <f>(I328 *Tabelle1[[#This Row],[Umgebungsdruck]]/101325*273.15/(Tabelle1[[#This Row],[Umgebungstemperatur]]+273.15))/1.046</f>
        <v>0</v>
      </c>
      <c r="I328" s="23">
        <f>Tabelle1[[#This Row],[Gasgeschwindigkeit]]*PI()*(Tabelle1[[#This Row],[Kanalmaße]]/1000)^2/4*1000000*60</f>
        <v>1.578650308428871</v>
      </c>
      <c r="J328" s="30">
        <v>0.13400000000000001</v>
      </c>
      <c r="K328" s="44">
        <f>Tabelle1[[#This Row],[Flüssigkeitsgeschwindigkeit]]*PI()*(Tabelle1[[#This Row],[Kanalmaße]]/1000)^2/4*1000000*60</f>
        <v>2.9452431127404308</v>
      </c>
      <c r="L328" s="15">
        <v>0.25</v>
      </c>
      <c r="P328" s="15">
        <v>3</v>
      </c>
      <c r="R328" t="s">
        <v>204</v>
      </c>
      <c r="S328" s="15" t="s">
        <v>205</v>
      </c>
      <c r="T328">
        <v>0.5</v>
      </c>
      <c r="U328">
        <v>0.4</v>
      </c>
      <c r="V328" s="57">
        <v>1</v>
      </c>
      <c r="W328">
        <v>0.2</v>
      </c>
      <c r="X328" s="15">
        <v>72</v>
      </c>
    </row>
    <row r="329" spans="2:24" x14ac:dyDescent="0.25">
      <c r="B329" s="56"/>
      <c r="E329" s="15" t="s">
        <v>397</v>
      </c>
      <c r="F329" s="21"/>
      <c r="G329" s="22"/>
      <c r="H329" s="23">
        <f>(I329 *Tabelle1[[#This Row],[Umgebungsdruck]]/101325*273.15/(Tabelle1[[#This Row],[Umgebungstemperatur]]+273.15))/1.046</f>
        <v>0</v>
      </c>
      <c r="I329" s="23">
        <f>Tabelle1[[#This Row],[Gasgeschwindigkeit]]*PI()*(Tabelle1[[#This Row],[Kanalmaße]]/1000)^2/4*1000000*60</f>
        <v>2.3364944371936356</v>
      </c>
      <c r="J329" s="30">
        <v>0.19832780756591101</v>
      </c>
      <c r="K329" s="44">
        <f>Tabelle1[[#This Row],[Flüssigkeitsgeschwindigkeit]]*PI()*(Tabelle1[[#This Row],[Kanalmaße]]/1000)^2/4*1000000*60</f>
        <v>0.65973445725385649</v>
      </c>
      <c r="L329" s="15">
        <v>5.6000000000000001E-2</v>
      </c>
      <c r="P329" s="15">
        <v>3</v>
      </c>
      <c r="R329" t="s">
        <v>204</v>
      </c>
      <c r="S329" s="15" t="s">
        <v>205</v>
      </c>
      <c r="T329">
        <v>0.5</v>
      </c>
      <c r="U329">
        <v>0.4</v>
      </c>
      <c r="V329" s="57">
        <v>1</v>
      </c>
      <c r="W329">
        <v>0.2</v>
      </c>
      <c r="X329" s="15">
        <v>72</v>
      </c>
    </row>
    <row r="330" spans="2:24" x14ac:dyDescent="0.25">
      <c r="B330" s="56"/>
      <c r="E330" s="15" t="s">
        <v>398</v>
      </c>
      <c r="F330" s="21"/>
      <c r="G330" s="22"/>
      <c r="H330" s="23">
        <f>(I330 *Tabelle1[[#This Row],[Umgebungsdruck]]/101325*273.15/(Tabelle1[[#This Row],[Umgebungstemperatur]]+273.15))/1.046</f>
        <v>0</v>
      </c>
      <c r="I330" s="23">
        <f>Tabelle1[[#This Row],[Gasgeschwindigkeit]]*PI()*(Tabelle1[[#This Row],[Kanalmaße]]/1000)^2/4*1000000*60</f>
        <v>2.3364944371936356</v>
      </c>
      <c r="J330" s="30">
        <v>0.19832780756591101</v>
      </c>
      <c r="K330" s="44">
        <f>Tabelle1[[#This Row],[Flüssigkeitsgeschwindigkeit]]*PI()*(Tabelle1[[#This Row],[Kanalmaße]]/1000)^2/4*1000000*60</f>
        <v>1.3076879420567513</v>
      </c>
      <c r="L330" s="15">
        <v>0.111</v>
      </c>
      <c r="P330" s="15">
        <v>3</v>
      </c>
      <c r="R330" t="s">
        <v>204</v>
      </c>
      <c r="S330" s="15" t="s">
        <v>205</v>
      </c>
      <c r="T330">
        <v>0.5</v>
      </c>
      <c r="U330">
        <v>0.4</v>
      </c>
      <c r="V330" s="57">
        <v>1</v>
      </c>
      <c r="W330">
        <v>0.2</v>
      </c>
      <c r="X330" s="15">
        <v>72</v>
      </c>
    </row>
    <row r="331" spans="2:24" x14ac:dyDescent="0.25">
      <c r="B331" s="56"/>
      <c r="E331" s="15" t="s">
        <v>399</v>
      </c>
      <c r="F331" s="21"/>
      <c r="G331" s="22"/>
      <c r="H331" s="23">
        <f>(I331 *Tabelle1[[#This Row],[Umgebungsdruck]]/101325*273.15/(Tabelle1[[#This Row],[Umgebungstemperatur]]+273.15))/1.046</f>
        <v>0</v>
      </c>
      <c r="I331" s="23">
        <f>Tabelle1[[#This Row],[Gasgeschwindigkeit]]*PI()*(Tabelle1[[#This Row],[Kanalmaße]]/1000)^2/4*1000000*60</f>
        <v>2.3364944371936356</v>
      </c>
      <c r="J331" s="30">
        <v>0.19832780756591101</v>
      </c>
      <c r="K331" s="44">
        <f>Tabelle1[[#This Row],[Flüssigkeitsgeschwindigkeit]]*PI()*(Tabelle1[[#This Row],[Kanalmaße]]/1000)^2/4*1000000*60</f>
        <v>1.9674223993106079</v>
      </c>
      <c r="L331" s="15">
        <v>0.16700000000000001</v>
      </c>
      <c r="P331" s="15">
        <v>3</v>
      </c>
      <c r="R331" t="s">
        <v>204</v>
      </c>
      <c r="S331" s="15" t="s">
        <v>205</v>
      </c>
      <c r="T331">
        <v>0.5</v>
      </c>
      <c r="U331">
        <v>0.4</v>
      </c>
      <c r="V331" s="57">
        <v>1</v>
      </c>
      <c r="W331">
        <v>0.2</v>
      </c>
      <c r="X331" s="15">
        <v>72</v>
      </c>
    </row>
    <row r="332" spans="2:24" x14ac:dyDescent="0.25">
      <c r="B332" s="56"/>
      <c r="E332" s="15" t="s">
        <v>400</v>
      </c>
      <c r="F332" s="21"/>
      <c r="G332" s="22"/>
      <c r="H332" s="23">
        <f>(I332 *Tabelle1[[#This Row],[Umgebungsdruck]]/101325*273.15/(Tabelle1[[#This Row],[Umgebungstemperatur]]+273.15))/1.046</f>
        <v>0</v>
      </c>
      <c r="I332" s="23">
        <f>Tabelle1[[#This Row],[Gasgeschwindigkeit]]*PI()*(Tabelle1[[#This Row],[Kanalmaße]]/1000)^2/4*1000000*60</f>
        <v>2.3364944371936356</v>
      </c>
      <c r="J332" s="30">
        <v>0.19832780756591101</v>
      </c>
      <c r="K332" s="44">
        <f>Tabelle1[[#This Row],[Flüssigkeitsgeschwindigkeit]]*PI()*(Tabelle1[[#This Row],[Kanalmaße]]/1000)^2/4*1000000*60</f>
        <v>2.9452431127404308</v>
      </c>
      <c r="L332" s="15">
        <v>0.25</v>
      </c>
      <c r="P332" s="15">
        <v>3</v>
      </c>
      <c r="R332" t="s">
        <v>204</v>
      </c>
      <c r="S332" s="15" t="s">
        <v>205</v>
      </c>
      <c r="T332">
        <v>0.5</v>
      </c>
      <c r="U332">
        <v>0.4</v>
      </c>
      <c r="V332" s="57">
        <v>1</v>
      </c>
      <c r="W332">
        <v>0.2</v>
      </c>
      <c r="X332" s="15">
        <v>72</v>
      </c>
    </row>
    <row r="333" spans="2:24" x14ac:dyDescent="0.25">
      <c r="B333" s="56"/>
      <c r="E333" s="15" t="s">
        <v>401</v>
      </c>
      <c r="F333" s="21"/>
      <c r="G333" s="22"/>
      <c r="H333" s="23">
        <f>(I333 *Tabelle1[[#This Row],[Umgebungsdruck]]/101325*273.15/(Tabelle1[[#This Row],[Umgebungstemperatur]]+273.15))/1.046</f>
        <v>0</v>
      </c>
      <c r="I333" s="23">
        <f>Tabelle1[[#This Row],[Gasgeschwindigkeit]]*PI()*(Tabelle1[[#This Row],[Kanalmaße]]/1000)^2/4*1000000*60</f>
        <v>3.1006021700503337</v>
      </c>
      <c r="J333" s="30">
        <v>0.26318728635998301</v>
      </c>
      <c r="K333" s="44">
        <f>Tabelle1[[#This Row],[Flüssigkeitsgeschwindigkeit]]*PI()*(Tabelle1[[#This Row],[Kanalmaße]]/1000)^2/4*1000000*60</f>
        <v>0.65973445725385649</v>
      </c>
      <c r="L333" s="15">
        <v>5.6000000000000001E-2</v>
      </c>
      <c r="P333" s="15">
        <v>3</v>
      </c>
      <c r="R333" t="s">
        <v>204</v>
      </c>
      <c r="S333" s="15" t="s">
        <v>205</v>
      </c>
      <c r="T333">
        <v>0.5</v>
      </c>
      <c r="U333">
        <v>0.4</v>
      </c>
      <c r="V333" s="57">
        <v>1</v>
      </c>
      <c r="W333">
        <v>0.2</v>
      </c>
      <c r="X333" s="15">
        <v>72</v>
      </c>
    </row>
    <row r="334" spans="2:24" x14ac:dyDescent="0.25">
      <c r="B334" s="56"/>
      <c r="E334" s="15" t="s">
        <v>402</v>
      </c>
      <c r="F334" s="21"/>
      <c r="G334" s="22"/>
      <c r="H334" s="23">
        <f>(I334 *Tabelle1[[#This Row],[Umgebungsdruck]]/101325*273.15/(Tabelle1[[#This Row],[Umgebungstemperatur]]+273.15))/1.046</f>
        <v>0</v>
      </c>
      <c r="I334" s="23">
        <f>Tabelle1[[#This Row],[Gasgeschwindigkeit]]*PI()*(Tabelle1[[#This Row],[Kanalmaße]]/1000)^2/4*1000000*60</f>
        <v>3.1006021700503337</v>
      </c>
      <c r="J334" s="30">
        <v>0.26318728635998301</v>
      </c>
      <c r="K334" s="44">
        <f>Tabelle1[[#This Row],[Flüssigkeitsgeschwindigkeit]]*PI()*(Tabelle1[[#This Row],[Kanalmaße]]/1000)^2/4*1000000*60</f>
        <v>1.3076879420567513</v>
      </c>
      <c r="L334" s="15">
        <v>0.111</v>
      </c>
      <c r="P334" s="15">
        <v>3</v>
      </c>
      <c r="R334" t="s">
        <v>204</v>
      </c>
      <c r="S334" s="15" t="s">
        <v>205</v>
      </c>
      <c r="T334">
        <v>0.5</v>
      </c>
      <c r="U334">
        <v>0.4</v>
      </c>
      <c r="V334" s="57">
        <v>1</v>
      </c>
      <c r="W334">
        <v>0.2</v>
      </c>
      <c r="X334" s="15">
        <v>72</v>
      </c>
    </row>
    <row r="335" spans="2:24" x14ac:dyDescent="0.25">
      <c r="B335" s="56"/>
      <c r="E335" s="15" t="s">
        <v>403</v>
      </c>
      <c r="F335" s="21"/>
      <c r="G335" s="22"/>
      <c r="H335" s="23">
        <f>(I335 *Tabelle1[[#This Row],[Umgebungsdruck]]/101325*273.15/(Tabelle1[[#This Row],[Umgebungstemperatur]]+273.15))/1.046</f>
        <v>0</v>
      </c>
      <c r="I335" s="23">
        <f>Tabelle1[[#This Row],[Gasgeschwindigkeit]]*PI()*(Tabelle1[[#This Row],[Kanalmaße]]/1000)^2/4*1000000*60</f>
        <v>3.1006021700503337</v>
      </c>
      <c r="J335" s="30">
        <v>0.26318728635998301</v>
      </c>
      <c r="K335" s="44">
        <f>Tabelle1[[#This Row],[Flüssigkeitsgeschwindigkeit]]*PI()*(Tabelle1[[#This Row],[Kanalmaße]]/1000)^2/4*1000000*60</f>
        <v>1.9674223993106079</v>
      </c>
      <c r="L335" s="15">
        <v>0.16700000000000001</v>
      </c>
      <c r="P335" s="15">
        <v>3</v>
      </c>
      <c r="R335" t="s">
        <v>204</v>
      </c>
      <c r="S335" s="15" t="s">
        <v>205</v>
      </c>
      <c r="T335">
        <v>0.5</v>
      </c>
      <c r="U335">
        <v>0.4</v>
      </c>
      <c r="V335" s="57">
        <v>1</v>
      </c>
      <c r="W335">
        <v>0.2</v>
      </c>
      <c r="X335" s="15">
        <v>72</v>
      </c>
    </row>
    <row r="336" spans="2:24" ht="15.75" thickBot="1" x14ac:dyDescent="0.3">
      <c r="B336" s="64"/>
      <c r="C336" s="65"/>
      <c r="D336" s="65"/>
      <c r="E336" s="65" t="s">
        <v>404</v>
      </c>
      <c r="F336" s="66"/>
      <c r="G336" s="67"/>
      <c r="H336" s="23">
        <f>(I336 *Tabelle1[[#This Row],[Umgebungsdruck]]/101325*273.15/(Tabelle1[[#This Row],[Umgebungstemperatur]]+273.15))/1.046</f>
        <v>0</v>
      </c>
      <c r="I336" s="44">
        <f>Tabelle1[[#This Row],[Gasgeschwindigkeit]]*PI()*(Tabelle1[[#This Row],[Kanalmaße]]/1000)^2/4*1000000*60</f>
        <v>3.1006021700503337</v>
      </c>
      <c r="J336" s="69">
        <v>0.26318728635998301</v>
      </c>
      <c r="K336" s="44">
        <f>Tabelle1[[#This Row],[Flüssigkeitsgeschwindigkeit]]*PI()*(Tabelle1[[#This Row],[Kanalmaße]]/1000)^2/4*1000000*60</f>
        <v>2.9452431127404308</v>
      </c>
      <c r="L336" s="65">
        <v>0.25</v>
      </c>
      <c r="M336" s="65"/>
      <c r="N336" s="65"/>
      <c r="O336" s="65"/>
      <c r="P336" s="65">
        <v>3</v>
      </c>
      <c r="Q336" s="65"/>
      <c r="R336" s="65" t="s">
        <v>204</v>
      </c>
      <c r="S336" s="65" t="s">
        <v>205</v>
      </c>
      <c r="T336" s="65">
        <v>0.5</v>
      </c>
      <c r="U336" s="65">
        <v>0.4</v>
      </c>
      <c r="V336" s="70">
        <v>1</v>
      </c>
      <c r="W336">
        <v>0.2</v>
      </c>
      <c r="X336" s="15">
        <v>72</v>
      </c>
    </row>
    <row r="337" spans="2:24" ht="15.75" thickBot="1" x14ac:dyDescent="0.3">
      <c r="B337" s="25" t="s">
        <v>405</v>
      </c>
      <c r="C337" s="36" t="s">
        <v>406</v>
      </c>
      <c r="D337" s="47">
        <v>0</v>
      </c>
      <c r="E337" s="51" t="s">
        <v>407</v>
      </c>
      <c r="F337" s="21">
        <v>46107</v>
      </c>
      <c r="G337" s="52">
        <v>0.48194444444444401</v>
      </c>
      <c r="H337" s="23">
        <f>(I337 *Tabelle1[[#This Row],[Umgebungsdruck]]/101325*273.15/(Tabelle1[[#This Row],[Umgebungstemperatur]]+273.15))/1.046</f>
        <v>6.4629467074234084</v>
      </c>
      <c r="I337" s="53">
        <f>Tabelle1[[#This Row],[Gasgeschwindigkeit]]*PI()*(Tabelle1[[#This Row],[Kanalmaße]]/1000)^2/4*1000000*60</f>
        <v>7.4220126441058873</v>
      </c>
      <c r="J337" s="54">
        <v>7.0000000000000007E-2</v>
      </c>
      <c r="K337" s="44">
        <f>Tabelle1[[#This Row],[Flüssigkeitsgeschwindigkeit]]*PI()*(Tabelle1[[#This Row],[Kanalmaße]]/1000)^2/4*1000000*60</f>
        <v>5.9376101152847083</v>
      </c>
      <c r="L337" s="51">
        <v>5.6000000000000001E-2</v>
      </c>
      <c r="M337" s="51">
        <v>21.9</v>
      </c>
      <c r="N337" s="51">
        <v>99690</v>
      </c>
      <c r="O337" s="51">
        <v>0.9</v>
      </c>
      <c r="P337" s="51">
        <v>1</v>
      </c>
      <c r="Q337" s="51"/>
      <c r="R337" s="51" t="s">
        <v>204</v>
      </c>
      <c r="S337" s="51" t="s">
        <v>205</v>
      </c>
      <c r="T337" s="51">
        <v>1.5</v>
      </c>
      <c r="U337" s="51">
        <v>1.1499999999999999</v>
      </c>
      <c r="V337" s="55">
        <v>1</v>
      </c>
      <c r="W337">
        <v>0.2</v>
      </c>
      <c r="X337" s="15">
        <v>72</v>
      </c>
    </row>
    <row r="338" spans="2:24" ht="15.75" thickBot="1" x14ac:dyDescent="0.3">
      <c r="B338" s="25" t="s">
        <v>405</v>
      </c>
      <c r="C338" s="36" t="s">
        <v>406</v>
      </c>
      <c r="D338" s="47">
        <v>0</v>
      </c>
      <c r="E338" s="15" t="s">
        <v>408</v>
      </c>
      <c r="F338" s="21">
        <v>46107</v>
      </c>
      <c r="G338" s="22">
        <v>0.48263888888888901</v>
      </c>
      <c r="H338" s="23">
        <f>(I338 *Tabelle1[[#This Row],[Umgebungsdruck]]/101325*273.15/(Tabelle1[[#This Row],[Umgebungstemperatur]]+273.15))/1.046</f>
        <v>6.4629467074234084</v>
      </c>
      <c r="I338" s="23">
        <f>Tabelle1[[#This Row],[Gasgeschwindigkeit]]*PI()*(Tabelle1[[#This Row],[Kanalmaße]]/1000)^2/4*1000000*60</f>
        <v>7.4220126441058873</v>
      </c>
      <c r="J338" s="30">
        <v>7.0000000000000007E-2</v>
      </c>
      <c r="K338" s="44">
        <f>Tabelle1[[#This Row],[Flüssigkeitsgeschwindigkeit]]*PI()*(Tabelle1[[#This Row],[Kanalmaße]]/1000)^2/4*1000000*60</f>
        <v>11.769191478510763</v>
      </c>
      <c r="L338" s="15">
        <v>0.111</v>
      </c>
      <c r="M338" s="51">
        <v>21.9</v>
      </c>
      <c r="N338" s="51">
        <v>99690</v>
      </c>
      <c r="O338" s="51">
        <v>0.9</v>
      </c>
      <c r="P338" s="15">
        <v>1</v>
      </c>
      <c r="R338" t="s">
        <v>204</v>
      </c>
      <c r="S338" s="15" t="s">
        <v>205</v>
      </c>
      <c r="T338">
        <v>1.5</v>
      </c>
      <c r="U338">
        <v>1.1499999999999999</v>
      </c>
      <c r="V338" s="57">
        <v>1</v>
      </c>
      <c r="W338">
        <v>0.2</v>
      </c>
      <c r="X338" s="15">
        <v>72</v>
      </c>
    </row>
    <row r="339" spans="2:24" ht="15.75" thickBot="1" x14ac:dyDescent="0.3">
      <c r="B339" s="25" t="s">
        <v>405</v>
      </c>
      <c r="C339" s="15" t="s">
        <v>406</v>
      </c>
      <c r="D339" s="47">
        <v>0</v>
      </c>
      <c r="E339" s="15" t="s">
        <v>409</v>
      </c>
      <c r="F339" s="21">
        <v>46107</v>
      </c>
      <c r="G339" s="22">
        <v>0.48611111111111099</v>
      </c>
      <c r="H339" s="23">
        <f>(I339 *Tabelle1[[#This Row],[Umgebungsdruck]]/101325*273.15/(Tabelle1[[#This Row],[Umgebungstemperatur]]+273.15))/1.046</f>
        <v>12.371926554210525</v>
      </c>
      <c r="I339" s="23">
        <f>Tabelle1[[#This Row],[Gasgeschwindigkeit]]*PI()*(Tabelle1[[#This Row],[Kanalmaße]]/1000)^2/4*1000000*60</f>
        <v>14.207852775859841</v>
      </c>
      <c r="J339" s="30">
        <v>0.13400000000000001</v>
      </c>
      <c r="K339" s="44">
        <f>Tabelle1[[#This Row],[Flüssigkeitsgeschwindigkeit]]*PI()*(Tabelle1[[#This Row],[Kanalmaße]]/1000)^2/4*1000000*60</f>
        <v>5.9376101152847083</v>
      </c>
      <c r="L339" s="15">
        <v>5.6000000000000001E-2</v>
      </c>
      <c r="M339" s="51">
        <v>21.9</v>
      </c>
      <c r="N339" s="51">
        <v>99690</v>
      </c>
      <c r="O339" s="51">
        <v>0.9</v>
      </c>
      <c r="P339" s="15">
        <v>1</v>
      </c>
      <c r="R339" t="s">
        <v>204</v>
      </c>
      <c r="S339" s="15" t="s">
        <v>205</v>
      </c>
      <c r="T339">
        <v>1.5</v>
      </c>
      <c r="U339">
        <v>1.1499999999999999</v>
      </c>
      <c r="V339" s="57">
        <v>1</v>
      </c>
      <c r="W339">
        <v>0.2</v>
      </c>
      <c r="X339" s="15">
        <v>72</v>
      </c>
    </row>
    <row r="340" spans="2:24" ht="15.75" thickBot="1" x14ac:dyDescent="0.3">
      <c r="B340" s="56" t="s">
        <v>28</v>
      </c>
      <c r="C340" s="36" t="s">
        <v>406</v>
      </c>
      <c r="D340" s="47">
        <v>0</v>
      </c>
      <c r="E340" s="15" t="s">
        <v>410</v>
      </c>
      <c r="F340" s="21">
        <v>46107</v>
      </c>
      <c r="G340" s="22">
        <v>0.48888888888888898</v>
      </c>
      <c r="H340" s="23">
        <f>(I340 *Tabelle1[[#This Row],[Umgebungsdruck]]/101325*273.15/(Tabelle1[[#This Row],[Umgebungstemperatur]]+273.15))/1.046</f>
        <v>12.371926554210525</v>
      </c>
      <c r="I340" s="23">
        <f>Tabelle1[[#This Row],[Gasgeschwindigkeit]]*PI()*(Tabelle1[[#This Row],[Kanalmaße]]/1000)^2/4*1000000*60</f>
        <v>14.207852775859841</v>
      </c>
      <c r="J340" s="30">
        <v>0.13400000000000001</v>
      </c>
      <c r="K340" s="44">
        <f>Tabelle1[[#This Row],[Flüssigkeitsgeschwindigkeit]]*PI()*(Tabelle1[[#This Row],[Kanalmaße]]/1000)^2/4*1000000*60</f>
        <v>11.769191478510763</v>
      </c>
      <c r="L340" s="15">
        <v>0.111</v>
      </c>
      <c r="M340" s="51">
        <v>21.9</v>
      </c>
      <c r="N340" s="51">
        <v>99690</v>
      </c>
      <c r="O340" s="51">
        <v>0.9</v>
      </c>
      <c r="P340" s="15">
        <v>1</v>
      </c>
      <c r="R340" t="s">
        <v>204</v>
      </c>
      <c r="S340" s="15" t="s">
        <v>205</v>
      </c>
      <c r="T340">
        <v>1.5</v>
      </c>
      <c r="U340">
        <v>1.1499999999999999</v>
      </c>
      <c r="V340" s="57">
        <v>1</v>
      </c>
      <c r="W340">
        <v>0.2</v>
      </c>
      <c r="X340" s="15">
        <v>72</v>
      </c>
    </row>
    <row r="341" spans="2:24" ht="15.75" thickBot="1" x14ac:dyDescent="0.3">
      <c r="B341" s="56" t="s">
        <v>28</v>
      </c>
      <c r="C341" s="36" t="s">
        <v>406</v>
      </c>
      <c r="D341" s="47">
        <v>0</v>
      </c>
      <c r="E341" s="15" t="s">
        <v>411</v>
      </c>
      <c r="F341" s="21">
        <v>46107</v>
      </c>
      <c r="G341" s="22">
        <v>0.49236111111111103</v>
      </c>
      <c r="H341" s="23">
        <f>(I341 *Tabelle1[[#This Row],[Umgebungsdruck]]/101325*273.15/(Tabelle1[[#This Row],[Umgebungstemperatur]]+273.15))/1.046</f>
        <v>12.371926554210525</v>
      </c>
      <c r="I341" s="23">
        <f>Tabelle1[[#This Row],[Gasgeschwindigkeit]]*PI()*(Tabelle1[[#This Row],[Kanalmaße]]/1000)^2/4*1000000*60</f>
        <v>14.207852775859841</v>
      </c>
      <c r="J341" s="30">
        <v>0.13400000000000001</v>
      </c>
      <c r="K341" s="44">
        <f>Tabelle1[[#This Row],[Flüssigkeitsgeschwindigkeit]]*PI()*(Tabelle1[[#This Row],[Kanalmaße]]/1000)^2/4*1000000*60</f>
        <v>17.706801593795472</v>
      </c>
      <c r="L341" s="15">
        <v>0.16700000000000001</v>
      </c>
      <c r="M341" s="51">
        <v>21.9</v>
      </c>
      <c r="N341" s="51">
        <v>99690</v>
      </c>
      <c r="O341" s="51">
        <v>0.9</v>
      </c>
      <c r="P341" s="15">
        <v>1</v>
      </c>
      <c r="R341" t="s">
        <v>204</v>
      </c>
      <c r="S341" s="15" t="s">
        <v>205</v>
      </c>
      <c r="T341">
        <v>1.5</v>
      </c>
      <c r="U341">
        <v>1.1499999999999999</v>
      </c>
      <c r="V341" s="57">
        <v>1</v>
      </c>
      <c r="W341">
        <v>0.2</v>
      </c>
      <c r="X341" s="15">
        <v>72</v>
      </c>
    </row>
    <row r="342" spans="2:24" ht="15.75" thickBot="1" x14ac:dyDescent="0.3">
      <c r="B342" s="71" t="s">
        <v>412</v>
      </c>
      <c r="D342" s="47">
        <v>0</v>
      </c>
      <c r="E342" s="15" t="s">
        <v>413</v>
      </c>
      <c r="F342" s="21"/>
      <c r="G342" s="22"/>
      <c r="H342" s="23">
        <f>(I342 *Tabelle1[[#This Row],[Umgebungsdruck]]/101325*273.15/(Tabelle1[[#This Row],[Umgebungstemperatur]]+273.15))/1.046</f>
        <v>12.371926554210525</v>
      </c>
      <c r="I342" s="23">
        <f>Tabelle1[[#This Row],[Gasgeschwindigkeit]]*PI()*(Tabelle1[[#This Row],[Kanalmaße]]/1000)^2/4*1000000*60</f>
        <v>14.207852775859841</v>
      </c>
      <c r="J342" s="30">
        <v>0.13400000000000001</v>
      </c>
      <c r="K342" s="44">
        <f>Tabelle1[[#This Row],[Flüssigkeitsgeschwindigkeit]]*PI()*(Tabelle1[[#This Row],[Kanalmaße]]/1000)^2/4*1000000*60</f>
        <v>26.507188014663878</v>
      </c>
      <c r="L342" s="15">
        <v>0.25</v>
      </c>
      <c r="M342" s="51">
        <v>21.9</v>
      </c>
      <c r="N342" s="51">
        <v>99690</v>
      </c>
      <c r="P342" s="15">
        <v>1</v>
      </c>
      <c r="R342" t="s">
        <v>204</v>
      </c>
      <c r="S342" s="15" t="s">
        <v>205</v>
      </c>
      <c r="T342">
        <v>1.5</v>
      </c>
      <c r="U342">
        <v>1.1499999999999999</v>
      </c>
      <c r="V342" s="57">
        <v>1</v>
      </c>
      <c r="W342">
        <v>0.2</v>
      </c>
      <c r="X342" s="15">
        <v>72</v>
      </c>
    </row>
    <row r="343" spans="2:24" ht="15.75" thickBot="1" x14ac:dyDescent="0.3">
      <c r="B343" s="56" t="s">
        <v>414</v>
      </c>
      <c r="C343" s="36" t="s">
        <v>406</v>
      </c>
      <c r="D343" s="47">
        <v>0</v>
      </c>
      <c r="E343" s="15" t="s">
        <v>415</v>
      </c>
      <c r="F343" s="21">
        <v>46107</v>
      </c>
      <c r="G343" s="22">
        <v>0.58611111111111103</v>
      </c>
      <c r="H343" s="23">
        <f>(I343 *Tabelle1[[#This Row],[Umgebungsdruck]]/101325*273.15/(Tabelle1[[#This Row],[Umgebungstemperatur]]+273.15))/1.0853</f>
        <v>17.648102897683899</v>
      </c>
      <c r="I343" s="23">
        <f>Tabelle1[[#This Row],[Gasgeschwindigkeit]]*PI()*(Tabelle1[[#This Row],[Kanalmaße]]/1000)^2/4*1000000*60</f>
        <v>21.028449934742717</v>
      </c>
      <c r="J343" s="30">
        <v>0.19832780756591101</v>
      </c>
      <c r="K343" s="44">
        <f>Tabelle1[[#This Row],[Flüssigkeitsgeschwindigkeit]]*PI()*(Tabelle1[[#This Row],[Kanalmaße]]/1000)^2/4*1000000*60</f>
        <v>5.9376101152847083</v>
      </c>
      <c r="L343" s="15">
        <v>5.6000000000000001E-2</v>
      </c>
      <c r="M343" s="51">
        <v>21.9</v>
      </c>
      <c r="N343" s="51">
        <v>99690</v>
      </c>
      <c r="O343" s="15">
        <v>1.1000000000000001</v>
      </c>
      <c r="P343" s="15">
        <v>1</v>
      </c>
      <c r="R343" t="s">
        <v>204</v>
      </c>
      <c r="S343" s="15" t="s">
        <v>205</v>
      </c>
      <c r="T343">
        <v>1.5</v>
      </c>
      <c r="U343">
        <v>1.1499999999999999</v>
      </c>
      <c r="V343" s="57">
        <v>2</v>
      </c>
      <c r="W343">
        <v>0.2</v>
      </c>
      <c r="X343" s="15">
        <v>72</v>
      </c>
    </row>
    <row r="344" spans="2:24" x14ac:dyDescent="0.25">
      <c r="B344" s="56" t="s">
        <v>414</v>
      </c>
      <c r="C344" s="36" t="s">
        <v>406</v>
      </c>
      <c r="D344" s="47">
        <v>0</v>
      </c>
      <c r="E344" s="15" t="s">
        <v>416</v>
      </c>
      <c r="F344" s="21">
        <v>46107</v>
      </c>
      <c r="G344" s="22">
        <v>0.58750000000000002</v>
      </c>
      <c r="H344" s="23">
        <f>(I344 *Tabelle1[[#This Row],[Umgebungsdruck]]/101325*273.15/(Tabelle1[[#This Row],[Umgebungstemperatur]]+273.15))/1.0853</f>
        <v>17.648102897683899</v>
      </c>
      <c r="I344" s="23">
        <f>Tabelle1[[#This Row],[Gasgeschwindigkeit]]*PI()*(Tabelle1[[#This Row],[Kanalmaße]]/1000)^2/4*1000000*60</f>
        <v>21.028449934742717</v>
      </c>
      <c r="J344" s="30">
        <v>0.19832780756591101</v>
      </c>
      <c r="K344" s="44">
        <f>Tabelle1[[#This Row],[Flüssigkeitsgeschwindigkeit]]*PI()*(Tabelle1[[#This Row],[Kanalmaße]]/1000)^2/4*1000000*60</f>
        <v>11.769191478510763</v>
      </c>
      <c r="L344" s="15">
        <v>0.111</v>
      </c>
      <c r="M344" s="51">
        <v>21.9</v>
      </c>
      <c r="N344" s="51">
        <v>99690</v>
      </c>
      <c r="O344" s="15">
        <v>1.1000000000000001</v>
      </c>
      <c r="P344" s="15">
        <v>1</v>
      </c>
      <c r="R344" t="s">
        <v>204</v>
      </c>
      <c r="S344" s="15" t="s">
        <v>205</v>
      </c>
      <c r="T344">
        <v>1.5</v>
      </c>
      <c r="U344">
        <v>1.1499999999999999</v>
      </c>
      <c r="V344" s="57">
        <v>2</v>
      </c>
      <c r="W344">
        <v>0.2</v>
      </c>
      <c r="X344" s="15">
        <v>72</v>
      </c>
    </row>
    <row r="345" spans="2:24" x14ac:dyDescent="0.25">
      <c r="B345" s="56" t="s">
        <v>414</v>
      </c>
      <c r="C345" s="15" t="s">
        <v>406</v>
      </c>
      <c r="D345" s="47">
        <v>0</v>
      </c>
      <c r="E345" s="15" t="s">
        <v>417</v>
      </c>
      <c r="F345" s="21">
        <v>46107</v>
      </c>
      <c r="G345" s="22">
        <v>0.58888888888888902</v>
      </c>
      <c r="H345" s="23">
        <f>(I345 *Tabelle1[[#This Row],[Umgebungsdruck]]/101325*273.15/(Tabelle1[[#This Row],[Umgebungstemperatur]]+273.15))/1.0853</f>
        <v>17.648102897683899</v>
      </c>
      <c r="I345" s="23">
        <f>Tabelle1[[#This Row],[Gasgeschwindigkeit]]*PI()*(Tabelle1[[#This Row],[Kanalmaße]]/1000)^2/4*1000000*60</f>
        <v>21.028449934742717</v>
      </c>
      <c r="J345" s="30">
        <v>0.19832780756591101</v>
      </c>
      <c r="K345" s="44">
        <f>Tabelle1[[#This Row],[Flüssigkeitsgeschwindigkeit]]*PI()*(Tabelle1[[#This Row],[Kanalmaße]]/1000)^2/4*1000000*60</f>
        <v>17.706801593795472</v>
      </c>
      <c r="L345" s="15">
        <v>0.16700000000000001</v>
      </c>
      <c r="M345" s="51">
        <v>21.9</v>
      </c>
      <c r="N345" s="51">
        <v>99690</v>
      </c>
      <c r="O345" s="15">
        <v>1.1000000000000001</v>
      </c>
      <c r="P345" s="15">
        <v>1</v>
      </c>
      <c r="R345" t="s">
        <v>204</v>
      </c>
      <c r="S345" s="15" t="s">
        <v>205</v>
      </c>
      <c r="T345">
        <v>1.5</v>
      </c>
      <c r="U345">
        <v>1.1499999999999999</v>
      </c>
      <c r="V345" s="57">
        <v>2</v>
      </c>
      <c r="W345">
        <v>0.2</v>
      </c>
      <c r="X345" s="15">
        <v>72</v>
      </c>
    </row>
    <row r="346" spans="2:24" x14ac:dyDescent="0.25">
      <c r="B346" s="71" t="s">
        <v>412</v>
      </c>
      <c r="C346" s="36"/>
      <c r="D346" s="47">
        <v>0</v>
      </c>
      <c r="E346" s="15" t="s">
        <v>418</v>
      </c>
      <c r="F346" s="21"/>
      <c r="G346" s="22"/>
      <c r="H346" s="23">
        <f>(I346 *Tabelle1[[#This Row],[Umgebungsdruck]]/101325*273.15/(Tabelle1[[#This Row],[Umgebungstemperatur]]+273.15))/1.0853</f>
        <v>17.648102897683899</v>
      </c>
      <c r="I346" s="23">
        <f>Tabelle1[[#This Row],[Gasgeschwindigkeit]]*PI()*(Tabelle1[[#This Row],[Kanalmaße]]/1000)^2/4*1000000*60</f>
        <v>21.028449934742717</v>
      </c>
      <c r="J346" s="30">
        <v>0.19832780756591101</v>
      </c>
      <c r="K346" s="44">
        <f>Tabelle1[[#This Row],[Flüssigkeitsgeschwindigkeit]]*PI()*(Tabelle1[[#This Row],[Kanalmaße]]/1000)^2/4*1000000*60</f>
        <v>26.507188014663878</v>
      </c>
      <c r="L346" s="15">
        <v>0.25</v>
      </c>
      <c r="M346" s="51">
        <v>21.9</v>
      </c>
      <c r="N346" s="51">
        <v>99690</v>
      </c>
      <c r="P346" s="15">
        <v>1</v>
      </c>
      <c r="R346" t="s">
        <v>204</v>
      </c>
      <c r="S346" s="15" t="s">
        <v>205</v>
      </c>
      <c r="T346">
        <v>1.5</v>
      </c>
      <c r="U346">
        <v>1.1499999999999999</v>
      </c>
      <c r="V346" s="59">
        <v>2</v>
      </c>
      <c r="W346">
        <v>0.2</v>
      </c>
      <c r="X346" s="15">
        <v>72</v>
      </c>
    </row>
    <row r="347" spans="2:24" x14ac:dyDescent="0.25">
      <c r="B347" s="56" t="s">
        <v>28</v>
      </c>
      <c r="C347" s="36" t="s">
        <v>406</v>
      </c>
      <c r="D347" s="47">
        <v>0</v>
      </c>
      <c r="E347" s="15" t="s">
        <v>419</v>
      </c>
      <c r="F347" s="21">
        <v>46107</v>
      </c>
      <c r="G347" s="22">
        <v>0.593055555555556</v>
      </c>
      <c r="H347" s="23">
        <f>(I347 *Tabelle1[[#This Row],[Umgebungsdruck]]/101325*273.15/(Tabelle1[[#This Row],[Umgebungstemperatur]]+273.15))/1.0853</f>
        <v>23.419591876946306</v>
      </c>
      <c r="I347" s="23">
        <f>Tabelle1[[#This Row],[Gasgeschwindigkeit]]*PI()*(Tabelle1[[#This Row],[Kanalmaße]]/1000)^2/4*1000000*60</f>
        <v>27.90541953045301</v>
      </c>
      <c r="J347" s="30">
        <v>0.26318728635998301</v>
      </c>
      <c r="K347" s="44">
        <f>Tabelle1[[#This Row],[Flüssigkeitsgeschwindigkeit]]*PI()*(Tabelle1[[#This Row],[Kanalmaße]]/1000)^2/4*1000000*60</f>
        <v>5.9376101152847083</v>
      </c>
      <c r="L347" s="15">
        <v>5.6000000000000001E-2</v>
      </c>
      <c r="M347" s="51">
        <v>21.9</v>
      </c>
      <c r="N347" s="51">
        <v>99690</v>
      </c>
      <c r="O347" s="15">
        <v>1.2</v>
      </c>
      <c r="P347" s="15">
        <v>1</v>
      </c>
      <c r="R347" t="s">
        <v>204</v>
      </c>
      <c r="S347" s="15" t="s">
        <v>205</v>
      </c>
      <c r="T347">
        <v>1.5</v>
      </c>
      <c r="U347">
        <v>1.1499999999999999</v>
      </c>
      <c r="V347" s="57">
        <v>2</v>
      </c>
      <c r="W347">
        <v>0.2</v>
      </c>
      <c r="X347" s="15">
        <v>72</v>
      </c>
    </row>
    <row r="348" spans="2:24" x14ac:dyDescent="0.25">
      <c r="B348" s="56" t="s">
        <v>28</v>
      </c>
      <c r="C348" s="15" t="s">
        <v>406</v>
      </c>
      <c r="D348" s="47">
        <v>0</v>
      </c>
      <c r="E348" s="15" t="s">
        <v>420</v>
      </c>
      <c r="F348" s="21">
        <v>46107</v>
      </c>
      <c r="G348" s="22">
        <v>0.59375</v>
      </c>
      <c r="H348" s="23">
        <f>(I348 *Tabelle1[[#This Row],[Umgebungsdruck]]/101325*273.15/(Tabelle1[[#This Row],[Umgebungstemperatur]]+273.15))/1.0853</f>
        <v>23.419591876946306</v>
      </c>
      <c r="I348" s="23">
        <f>Tabelle1[[#This Row],[Gasgeschwindigkeit]]*PI()*(Tabelle1[[#This Row],[Kanalmaße]]/1000)^2/4*1000000*60</f>
        <v>27.90541953045301</v>
      </c>
      <c r="J348" s="30">
        <v>0.26318728635998301</v>
      </c>
      <c r="K348" s="44">
        <f>Tabelle1[[#This Row],[Flüssigkeitsgeschwindigkeit]]*PI()*(Tabelle1[[#This Row],[Kanalmaße]]/1000)^2/4*1000000*60</f>
        <v>11.769191478510763</v>
      </c>
      <c r="L348" s="15">
        <v>0.111</v>
      </c>
      <c r="M348" s="51">
        <v>21.9</v>
      </c>
      <c r="N348" s="51">
        <v>99690</v>
      </c>
      <c r="O348" s="15">
        <v>1.2</v>
      </c>
      <c r="P348" s="15">
        <v>1</v>
      </c>
      <c r="R348" t="s">
        <v>204</v>
      </c>
      <c r="S348" s="15" t="s">
        <v>205</v>
      </c>
      <c r="T348">
        <v>1.5</v>
      </c>
      <c r="U348">
        <v>1.1499999999999999</v>
      </c>
      <c r="V348" s="57">
        <v>2</v>
      </c>
      <c r="W348">
        <v>0.2</v>
      </c>
      <c r="X348" s="15">
        <v>72</v>
      </c>
    </row>
    <row r="349" spans="2:24" x14ac:dyDescent="0.25">
      <c r="B349" s="56" t="s">
        <v>28</v>
      </c>
      <c r="C349" s="15" t="s">
        <v>406</v>
      </c>
      <c r="D349" s="47">
        <v>0</v>
      </c>
      <c r="E349" s="15" t="s">
        <v>421</v>
      </c>
      <c r="F349" s="21">
        <v>46107</v>
      </c>
      <c r="G349" s="22">
        <v>0.59513888888888899</v>
      </c>
      <c r="H349" s="23">
        <f>(I349 *Tabelle1[[#This Row],[Umgebungsdruck]]/101325*273.15/(Tabelle1[[#This Row],[Umgebungstemperatur]]+273.15))/1.0853</f>
        <v>23.419591876946306</v>
      </c>
      <c r="I349" s="23">
        <f>Tabelle1[[#This Row],[Gasgeschwindigkeit]]*PI()*(Tabelle1[[#This Row],[Kanalmaße]]/1000)^2/4*1000000*60</f>
        <v>27.90541953045301</v>
      </c>
      <c r="J349" s="30">
        <v>0.26318728635998301</v>
      </c>
      <c r="K349" s="44">
        <f>Tabelle1[[#This Row],[Flüssigkeitsgeschwindigkeit]]*PI()*(Tabelle1[[#This Row],[Kanalmaße]]/1000)^2/4*1000000*60</f>
        <v>17.706801593795472</v>
      </c>
      <c r="L349" s="15">
        <v>0.16700000000000001</v>
      </c>
      <c r="M349" s="51">
        <v>21.9</v>
      </c>
      <c r="N349" s="51">
        <v>99690</v>
      </c>
      <c r="O349" s="15">
        <v>1.2</v>
      </c>
      <c r="P349" s="15">
        <v>1</v>
      </c>
      <c r="R349" t="s">
        <v>204</v>
      </c>
      <c r="S349" s="15" t="s">
        <v>205</v>
      </c>
      <c r="T349">
        <v>1.5</v>
      </c>
      <c r="U349">
        <v>1.1499999999999999</v>
      </c>
      <c r="V349" s="57">
        <v>2</v>
      </c>
      <c r="W349">
        <v>0.2</v>
      </c>
      <c r="X349" s="15">
        <v>72</v>
      </c>
    </row>
    <row r="350" spans="2:24" x14ac:dyDescent="0.25">
      <c r="B350" s="71" t="s">
        <v>412</v>
      </c>
      <c r="D350" s="47">
        <v>0</v>
      </c>
      <c r="E350" s="42" t="s">
        <v>422</v>
      </c>
      <c r="F350" s="21"/>
      <c r="G350" s="43"/>
      <c r="H350" s="44">
        <f>(I350 *Tabelle1[[#This Row],[Umgebungsdruck]]/101325*273.15/(Tabelle1[[#This Row],[Umgebungstemperatur]]+273.15))/1.0853</f>
        <v>23.419591876946306</v>
      </c>
      <c r="I350" s="44">
        <f>Tabelle1[[#This Row],[Gasgeschwindigkeit]]*PI()*(Tabelle1[[#This Row],[Kanalmaße]]/1000)^2/4*1000000*60</f>
        <v>27.90541953045301</v>
      </c>
      <c r="J350" s="45">
        <v>0.26318728635998301</v>
      </c>
      <c r="K350" s="44">
        <f>Tabelle1[[#This Row],[Flüssigkeitsgeschwindigkeit]]*PI()*(Tabelle1[[#This Row],[Kanalmaße]]/1000)^2/4*1000000*60</f>
        <v>26.507188014663878</v>
      </c>
      <c r="L350" s="42">
        <v>0.25</v>
      </c>
      <c r="M350" s="51">
        <v>21.9</v>
      </c>
      <c r="N350" s="51">
        <v>99690</v>
      </c>
      <c r="O350" s="42"/>
      <c r="P350" s="42">
        <v>1</v>
      </c>
      <c r="Q350" s="42"/>
      <c r="R350" s="42" t="s">
        <v>204</v>
      </c>
      <c r="S350" s="42" t="s">
        <v>205</v>
      </c>
      <c r="T350">
        <v>1.5</v>
      </c>
      <c r="U350">
        <v>1.1499999999999999</v>
      </c>
      <c r="V350" s="59">
        <v>2</v>
      </c>
      <c r="W350">
        <v>0.2</v>
      </c>
      <c r="X350" s="15">
        <v>72</v>
      </c>
    </row>
    <row r="351" spans="2:24" x14ac:dyDescent="0.25">
      <c r="B351" s="25" t="s">
        <v>423</v>
      </c>
      <c r="C351" s="36" t="s">
        <v>424</v>
      </c>
      <c r="D351" s="36">
        <v>159.5</v>
      </c>
      <c r="E351" s="36" t="s">
        <v>425</v>
      </c>
      <c r="F351" s="21">
        <v>46107</v>
      </c>
      <c r="G351" s="37">
        <v>0.61527777777777803</v>
      </c>
      <c r="H351" s="23">
        <f>(I351 *Tabelle1[[#This Row],[Umgebungsdruck]]/101325*273.15/(Tabelle1[[#This Row],[Umgebungstemperatur]]+273.15))/1.046</f>
        <v>6.4576772996791263</v>
      </c>
      <c r="I351" s="23">
        <f>Tabelle1[[#This Row],[Gasgeschwindigkeit]]*PI()*(Tabelle1[[#This Row],[Kanalmaße]]/1000)^2/4*1000000*60</f>
        <v>7.4220126441058873</v>
      </c>
      <c r="J351" s="39">
        <v>7.0000000000000007E-2</v>
      </c>
      <c r="K351" s="44">
        <f>Tabelle1[[#This Row],[Flüssigkeitsgeschwindigkeit]]*PI()*(Tabelle1[[#This Row],[Kanalmaße]]/1000)^2/4*1000000*60</f>
        <v>5.9376101152847083</v>
      </c>
      <c r="L351" s="36">
        <v>5.6000000000000001E-2</v>
      </c>
      <c r="M351" s="36">
        <v>22.2</v>
      </c>
      <c r="N351" s="36">
        <v>99710</v>
      </c>
      <c r="O351" s="36">
        <v>0.8</v>
      </c>
      <c r="P351" s="36">
        <v>2</v>
      </c>
      <c r="Q351" s="36"/>
      <c r="R351" s="36" t="s">
        <v>204</v>
      </c>
      <c r="S351" s="36" t="s">
        <v>205</v>
      </c>
      <c r="T351">
        <v>1.5</v>
      </c>
      <c r="U351">
        <v>1.1499999999999999</v>
      </c>
      <c r="V351" s="62">
        <v>1</v>
      </c>
      <c r="W351">
        <v>0.2</v>
      </c>
      <c r="X351" s="15">
        <v>72</v>
      </c>
    </row>
    <row r="352" spans="2:24" x14ac:dyDescent="0.25">
      <c r="B352" s="25" t="s">
        <v>423</v>
      </c>
      <c r="C352" s="36" t="s">
        <v>424</v>
      </c>
      <c r="D352" s="36">
        <v>159.5</v>
      </c>
      <c r="E352" s="15" t="s">
        <v>426</v>
      </c>
      <c r="F352" s="21">
        <v>46107</v>
      </c>
      <c r="G352" s="22">
        <v>0.61666666666666703</v>
      </c>
      <c r="H352" s="23">
        <f>(I352 *Tabelle1[[#This Row],[Umgebungsdruck]]/101325*273.15/(Tabelle1[[#This Row],[Umgebungstemperatur]]+273.15))/1.046</f>
        <v>6.4576772996791263</v>
      </c>
      <c r="I352" s="23">
        <f>Tabelle1[[#This Row],[Gasgeschwindigkeit]]*PI()*(Tabelle1[[#This Row],[Kanalmaße]]/1000)^2/4*1000000*60</f>
        <v>7.4220126441058873</v>
      </c>
      <c r="J352" s="30">
        <v>7.0000000000000007E-2</v>
      </c>
      <c r="K352" s="44">
        <f>Tabelle1[[#This Row],[Flüssigkeitsgeschwindigkeit]]*PI()*(Tabelle1[[#This Row],[Kanalmaße]]/1000)^2/4*1000000*60</f>
        <v>11.769191478510763</v>
      </c>
      <c r="L352" s="15">
        <v>0.111</v>
      </c>
      <c r="M352" s="36">
        <v>22.2</v>
      </c>
      <c r="N352" s="36">
        <v>99710</v>
      </c>
      <c r="O352" s="36">
        <v>0.8</v>
      </c>
      <c r="P352" s="15">
        <v>2</v>
      </c>
      <c r="R352" t="s">
        <v>204</v>
      </c>
      <c r="S352" s="15" t="s">
        <v>205</v>
      </c>
      <c r="T352">
        <v>1.5</v>
      </c>
      <c r="U352">
        <v>1.1499999999999999</v>
      </c>
      <c r="V352" s="57">
        <v>1</v>
      </c>
      <c r="W352">
        <v>0.2</v>
      </c>
      <c r="X352" s="15">
        <v>72</v>
      </c>
    </row>
    <row r="353" spans="2:24" x14ac:dyDescent="0.25">
      <c r="B353" s="25" t="s">
        <v>423</v>
      </c>
      <c r="C353" s="36" t="s">
        <v>424</v>
      </c>
      <c r="D353" s="36">
        <v>159.5</v>
      </c>
      <c r="E353" s="15" t="s">
        <v>427</v>
      </c>
      <c r="F353" s="21">
        <v>46107</v>
      </c>
      <c r="G353" s="22">
        <v>0.62152777777777801</v>
      </c>
      <c r="H353" s="23">
        <f>(I353 *Tabelle1[[#This Row],[Umgebungsdruck]]/101325*273.15/(Tabelle1[[#This Row],[Umgebungstemperatur]]+273.15))/1.046</f>
        <v>12.361839402242898</v>
      </c>
      <c r="I353" s="23">
        <f>Tabelle1[[#This Row],[Gasgeschwindigkeit]]*PI()*(Tabelle1[[#This Row],[Kanalmaße]]/1000)^2/4*1000000*60</f>
        <v>14.207852775859841</v>
      </c>
      <c r="J353" s="30">
        <v>0.13400000000000001</v>
      </c>
      <c r="K353" s="44">
        <f>Tabelle1[[#This Row],[Flüssigkeitsgeschwindigkeit]]*PI()*(Tabelle1[[#This Row],[Kanalmaße]]/1000)^2/4*1000000*60</f>
        <v>5.9376101152847083</v>
      </c>
      <c r="L353" s="15">
        <v>5.6000000000000001E-2</v>
      </c>
      <c r="M353" s="36">
        <v>22.2</v>
      </c>
      <c r="N353" s="36">
        <v>99710</v>
      </c>
      <c r="O353" s="36">
        <v>1</v>
      </c>
      <c r="P353" s="15">
        <v>2</v>
      </c>
      <c r="R353" t="s">
        <v>204</v>
      </c>
      <c r="S353" s="15" t="s">
        <v>205</v>
      </c>
      <c r="T353">
        <v>1.5</v>
      </c>
      <c r="U353">
        <v>1.1499999999999999</v>
      </c>
      <c r="V353" s="57">
        <v>1</v>
      </c>
      <c r="W353">
        <v>0.2</v>
      </c>
      <c r="X353" s="15">
        <v>72</v>
      </c>
    </row>
    <row r="354" spans="2:24" x14ac:dyDescent="0.25">
      <c r="B354" s="56" t="s">
        <v>28</v>
      </c>
      <c r="C354" s="36" t="s">
        <v>424</v>
      </c>
      <c r="D354" s="36">
        <v>159.5</v>
      </c>
      <c r="E354" s="15" t="s">
        <v>428</v>
      </c>
      <c r="F354" s="21">
        <v>46107</v>
      </c>
      <c r="G354" s="22">
        <v>0.62291666666666701</v>
      </c>
      <c r="H354" s="23">
        <f>(I354 *Tabelle1[[#This Row],[Umgebungsdruck]]/101325*273.15/(Tabelle1[[#This Row],[Umgebungstemperatur]]+273.15))/1.046</f>
        <v>12.361839402242898</v>
      </c>
      <c r="I354" s="23">
        <f>Tabelle1[[#This Row],[Gasgeschwindigkeit]]*PI()*(Tabelle1[[#This Row],[Kanalmaße]]/1000)^2/4*1000000*60</f>
        <v>14.207852775859841</v>
      </c>
      <c r="J354" s="30">
        <v>0.13400000000000001</v>
      </c>
      <c r="K354" s="44">
        <f>Tabelle1[[#This Row],[Flüssigkeitsgeschwindigkeit]]*PI()*(Tabelle1[[#This Row],[Kanalmaße]]/1000)^2/4*1000000*60</f>
        <v>11.769191478510763</v>
      </c>
      <c r="L354" s="15">
        <v>0.111</v>
      </c>
      <c r="M354" s="36">
        <v>22.2</v>
      </c>
      <c r="N354" s="36">
        <v>99710</v>
      </c>
      <c r="O354" s="15">
        <v>1</v>
      </c>
      <c r="P354" s="15">
        <v>2</v>
      </c>
      <c r="R354" t="s">
        <v>204</v>
      </c>
      <c r="S354" s="15" t="s">
        <v>205</v>
      </c>
      <c r="T354">
        <v>1.5</v>
      </c>
      <c r="U354">
        <v>1.1499999999999999</v>
      </c>
      <c r="V354" s="57">
        <v>1</v>
      </c>
      <c r="W354">
        <v>0.2</v>
      </c>
      <c r="X354" s="15">
        <v>72</v>
      </c>
    </row>
    <row r="355" spans="2:24" x14ac:dyDescent="0.25">
      <c r="B355" s="56" t="s">
        <v>28</v>
      </c>
      <c r="C355" s="36" t="s">
        <v>424</v>
      </c>
      <c r="D355" s="36">
        <v>159.5</v>
      </c>
      <c r="E355" s="15" t="s">
        <v>429</v>
      </c>
      <c r="F355" s="21">
        <v>46107</v>
      </c>
      <c r="G355" s="22">
        <v>0.62361111111111101</v>
      </c>
      <c r="H355" s="23">
        <f>(I355 *Tabelle1[[#This Row],[Umgebungsdruck]]/101325*273.15/(Tabelle1[[#This Row],[Umgebungstemperatur]]+273.15))/1.046</f>
        <v>12.361839402242898</v>
      </c>
      <c r="I355" s="23">
        <f>Tabelle1[[#This Row],[Gasgeschwindigkeit]]*PI()*(Tabelle1[[#This Row],[Kanalmaße]]/1000)^2/4*1000000*60</f>
        <v>14.207852775859841</v>
      </c>
      <c r="J355" s="30">
        <v>0.13400000000000001</v>
      </c>
      <c r="K355" s="44">
        <f>Tabelle1[[#This Row],[Flüssigkeitsgeschwindigkeit]]*PI()*(Tabelle1[[#This Row],[Kanalmaße]]/1000)^2/4*1000000*60</f>
        <v>17.706801593795472</v>
      </c>
      <c r="L355" s="15">
        <v>0.16700000000000001</v>
      </c>
      <c r="M355" s="36">
        <v>22.2</v>
      </c>
      <c r="N355" s="36">
        <v>99710</v>
      </c>
      <c r="O355" s="15">
        <v>1</v>
      </c>
      <c r="P355" s="15">
        <v>2</v>
      </c>
      <c r="R355" t="s">
        <v>204</v>
      </c>
      <c r="S355" s="15" t="s">
        <v>205</v>
      </c>
      <c r="T355">
        <v>1.5</v>
      </c>
      <c r="U355">
        <v>1.1499999999999999</v>
      </c>
      <c r="V355" s="57">
        <v>1</v>
      </c>
      <c r="W355">
        <v>0.2</v>
      </c>
      <c r="X355" s="15">
        <v>72</v>
      </c>
    </row>
    <row r="356" spans="2:24" x14ac:dyDescent="0.25">
      <c r="B356" s="71" t="s">
        <v>412</v>
      </c>
      <c r="C356" s="36"/>
      <c r="D356" s="36">
        <v>159.5</v>
      </c>
      <c r="E356" s="15" t="s">
        <v>430</v>
      </c>
      <c r="F356" s="21"/>
      <c r="G356" s="22"/>
      <c r="H356" s="23">
        <f>(I356 *Tabelle1[[#This Row],[Umgebungsdruck]]/101325*273.15/(Tabelle1[[#This Row],[Umgebungstemperatur]]+273.15))/1.046</f>
        <v>12.361839402242898</v>
      </c>
      <c r="I356" s="23">
        <f>Tabelle1[[#This Row],[Gasgeschwindigkeit]]*PI()*(Tabelle1[[#This Row],[Kanalmaße]]/1000)^2/4*1000000*60</f>
        <v>14.207852775859841</v>
      </c>
      <c r="J356" s="30">
        <v>0.13400000000000001</v>
      </c>
      <c r="K356" s="44">
        <f>Tabelle1[[#This Row],[Flüssigkeitsgeschwindigkeit]]*PI()*(Tabelle1[[#This Row],[Kanalmaße]]/1000)^2/4*1000000*60</f>
        <v>26.507188014663878</v>
      </c>
      <c r="L356" s="15">
        <v>0.25</v>
      </c>
      <c r="M356" s="36">
        <v>22.2</v>
      </c>
      <c r="N356" s="36">
        <v>99710</v>
      </c>
      <c r="P356" s="15">
        <v>2</v>
      </c>
      <c r="R356" t="s">
        <v>204</v>
      </c>
      <c r="S356" s="15" t="s">
        <v>205</v>
      </c>
      <c r="T356">
        <v>1.5</v>
      </c>
      <c r="U356">
        <v>1.1499999999999999</v>
      </c>
      <c r="V356" s="57">
        <v>1</v>
      </c>
      <c r="W356">
        <v>0.2</v>
      </c>
      <c r="X356" s="15">
        <v>72</v>
      </c>
    </row>
    <row r="357" spans="2:24" x14ac:dyDescent="0.25">
      <c r="B357" s="56" t="s">
        <v>414</v>
      </c>
      <c r="C357" s="36" t="s">
        <v>424</v>
      </c>
      <c r="D357" s="36">
        <v>159.5</v>
      </c>
      <c r="E357" s="15" t="s">
        <v>431</v>
      </c>
      <c r="F357" s="21">
        <v>46107</v>
      </c>
      <c r="G357" s="22">
        <v>0.60347222222222197</v>
      </c>
      <c r="H357" s="23">
        <f>(I357 *Tabelle1[[#This Row],[Umgebungsdruck]]/101325*273.15/(Tabelle1[[#This Row],[Umgebungstemperatur]]+273.15))/1.0853</f>
        <v>17.633713942569333</v>
      </c>
      <c r="I357" s="23">
        <f>Tabelle1[[#This Row],[Gasgeschwindigkeit]]*PI()*(Tabelle1[[#This Row],[Kanalmaße]]/1000)^2/4*1000000*60</f>
        <v>21.028449934742717</v>
      </c>
      <c r="J357" s="30">
        <v>0.19832780756591101</v>
      </c>
      <c r="K357" s="44">
        <f>Tabelle1[[#This Row],[Flüssigkeitsgeschwindigkeit]]*PI()*(Tabelle1[[#This Row],[Kanalmaße]]/1000)^2/4*1000000*60</f>
        <v>5.9376101152847083</v>
      </c>
      <c r="L357" s="15">
        <v>5.6000000000000001E-2</v>
      </c>
      <c r="M357" s="36">
        <v>22.2</v>
      </c>
      <c r="N357" s="36">
        <v>99710</v>
      </c>
      <c r="O357" s="15">
        <v>1.1000000000000001</v>
      </c>
      <c r="P357" s="15">
        <v>2</v>
      </c>
      <c r="R357" t="s">
        <v>204</v>
      </c>
      <c r="S357" s="15" t="s">
        <v>205</v>
      </c>
      <c r="T357">
        <v>1.5</v>
      </c>
      <c r="U357">
        <v>1.1499999999999999</v>
      </c>
      <c r="V357" s="57">
        <v>2</v>
      </c>
      <c r="W357">
        <v>0.2</v>
      </c>
      <c r="X357" s="15">
        <v>72</v>
      </c>
    </row>
    <row r="358" spans="2:24" x14ac:dyDescent="0.25">
      <c r="B358" s="56" t="s">
        <v>414</v>
      </c>
      <c r="C358" s="36" t="s">
        <v>424</v>
      </c>
      <c r="D358" s="36">
        <v>159.5</v>
      </c>
      <c r="E358" s="15" t="s">
        <v>432</v>
      </c>
      <c r="F358" s="21">
        <v>46107</v>
      </c>
      <c r="G358" s="22">
        <v>0.60486111111111096</v>
      </c>
      <c r="H358" s="23">
        <f>(I358 *Tabelle1[[#This Row],[Umgebungsdruck]]/101325*273.15/(Tabelle1[[#This Row],[Umgebungstemperatur]]+273.15))/1.0853</f>
        <v>17.633713942569333</v>
      </c>
      <c r="I358" s="23">
        <f>Tabelle1[[#This Row],[Gasgeschwindigkeit]]*PI()*(Tabelle1[[#This Row],[Kanalmaße]]/1000)^2/4*1000000*60</f>
        <v>21.028449934742717</v>
      </c>
      <c r="J358" s="30">
        <v>0.19832780756591101</v>
      </c>
      <c r="K358" s="44">
        <f>Tabelle1[[#This Row],[Flüssigkeitsgeschwindigkeit]]*PI()*(Tabelle1[[#This Row],[Kanalmaße]]/1000)^2/4*1000000*60</f>
        <v>11.769191478510763</v>
      </c>
      <c r="L358" s="15">
        <v>0.111</v>
      </c>
      <c r="M358" s="36">
        <v>22.2</v>
      </c>
      <c r="N358" s="36">
        <v>99710</v>
      </c>
      <c r="O358" s="15">
        <v>1.1000000000000001</v>
      </c>
      <c r="P358" s="15">
        <v>2</v>
      </c>
      <c r="R358" t="s">
        <v>204</v>
      </c>
      <c r="S358" s="15" t="s">
        <v>205</v>
      </c>
      <c r="T358">
        <v>1.5</v>
      </c>
      <c r="U358">
        <v>1.1499999999999999</v>
      </c>
      <c r="V358" s="57">
        <v>2</v>
      </c>
      <c r="W358">
        <v>0.2</v>
      </c>
      <c r="X358" s="15">
        <v>72</v>
      </c>
    </row>
    <row r="359" spans="2:24" x14ac:dyDescent="0.25">
      <c r="B359" s="56" t="s">
        <v>414</v>
      </c>
      <c r="C359" s="36" t="s">
        <v>424</v>
      </c>
      <c r="D359" s="36">
        <v>159.5</v>
      </c>
      <c r="E359" s="15" t="s">
        <v>433</v>
      </c>
      <c r="F359" s="21">
        <v>46107</v>
      </c>
      <c r="G359" s="22">
        <v>0.60624999999999996</v>
      </c>
      <c r="H359" s="23">
        <f>(I359 *Tabelle1[[#This Row],[Umgebungsdruck]]/101325*273.15/(Tabelle1[[#This Row],[Umgebungstemperatur]]+273.15))/1.0853</f>
        <v>17.633713942569333</v>
      </c>
      <c r="I359" s="23">
        <f>Tabelle1[[#This Row],[Gasgeschwindigkeit]]*PI()*(Tabelle1[[#This Row],[Kanalmaße]]/1000)^2/4*1000000*60</f>
        <v>21.028449934742717</v>
      </c>
      <c r="J359" s="30">
        <v>0.19832780756591101</v>
      </c>
      <c r="K359" s="44">
        <f>Tabelle1[[#This Row],[Flüssigkeitsgeschwindigkeit]]*PI()*(Tabelle1[[#This Row],[Kanalmaße]]/1000)^2/4*1000000*60</f>
        <v>17.706801593795472</v>
      </c>
      <c r="L359" s="15">
        <v>0.16700000000000001</v>
      </c>
      <c r="M359" s="36">
        <v>22.2</v>
      </c>
      <c r="N359" s="36">
        <v>99710</v>
      </c>
      <c r="O359" s="15">
        <v>1.1000000000000001</v>
      </c>
      <c r="P359" s="15">
        <v>2</v>
      </c>
      <c r="R359" t="s">
        <v>204</v>
      </c>
      <c r="S359" s="15" t="s">
        <v>205</v>
      </c>
      <c r="T359">
        <v>1.5</v>
      </c>
      <c r="U359">
        <v>1.1499999999999999</v>
      </c>
      <c r="V359" s="57">
        <v>2</v>
      </c>
      <c r="W359">
        <v>0.2</v>
      </c>
      <c r="X359" s="15">
        <v>72</v>
      </c>
    </row>
    <row r="360" spans="2:24" x14ac:dyDescent="0.25">
      <c r="B360" s="71" t="s">
        <v>412</v>
      </c>
      <c r="C360" s="36"/>
      <c r="D360" s="36">
        <v>159.5</v>
      </c>
      <c r="E360" s="15" t="s">
        <v>434</v>
      </c>
      <c r="F360" s="21"/>
      <c r="G360" s="22"/>
      <c r="H360" s="23">
        <f>(I360 *Tabelle1[[#This Row],[Umgebungsdruck]]/101325*273.15/(Tabelle1[[#This Row],[Umgebungstemperatur]]+273.15))/1.0853</f>
        <v>17.633713942569333</v>
      </c>
      <c r="I360" s="23">
        <f>Tabelle1[[#This Row],[Gasgeschwindigkeit]]*PI()*(Tabelle1[[#This Row],[Kanalmaße]]/1000)^2/4*1000000*60</f>
        <v>21.028449934742717</v>
      </c>
      <c r="J360" s="30">
        <v>0.19832780756591101</v>
      </c>
      <c r="K360" s="44">
        <f>Tabelle1[[#This Row],[Flüssigkeitsgeschwindigkeit]]*PI()*(Tabelle1[[#This Row],[Kanalmaße]]/1000)^2/4*1000000*60</f>
        <v>26.507188014663878</v>
      </c>
      <c r="L360" s="15">
        <v>0.25</v>
      </c>
      <c r="M360" s="36">
        <v>22.2</v>
      </c>
      <c r="N360" s="36">
        <v>99710</v>
      </c>
      <c r="P360" s="15">
        <v>2</v>
      </c>
      <c r="R360" t="s">
        <v>204</v>
      </c>
      <c r="S360" s="15" t="s">
        <v>205</v>
      </c>
      <c r="T360">
        <v>1.5</v>
      </c>
      <c r="U360">
        <v>1.1499999999999999</v>
      </c>
      <c r="V360" s="59">
        <v>2</v>
      </c>
      <c r="W360">
        <v>0.2</v>
      </c>
      <c r="X360" s="15">
        <v>72</v>
      </c>
    </row>
    <row r="361" spans="2:24" x14ac:dyDescent="0.25">
      <c r="B361" s="56" t="s">
        <v>28</v>
      </c>
      <c r="C361" s="36" t="s">
        <v>424</v>
      </c>
      <c r="D361" s="36">
        <v>159.5</v>
      </c>
      <c r="E361" s="15" t="s">
        <v>435</v>
      </c>
      <c r="F361" s="21">
        <v>46107</v>
      </c>
      <c r="G361" s="22">
        <v>0.60763888888888895</v>
      </c>
      <c r="H361" s="23">
        <f>(I361 *Tabelle1[[#This Row],[Umgebungsdruck]]/101325*273.15/(Tabelle1[[#This Row],[Umgebungstemperatur]]+273.15))/1.0853</f>
        <v>23.400497277471654</v>
      </c>
      <c r="I361" s="23">
        <f>Tabelle1[[#This Row],[Gasgeschwindigkeit]]*PI()*(Tabelle1[[#This Row],[Kanalmaße]]/1000)^2/4*1000000*60</f>
        <v>27.90541953045301</v>
      </c>
      <c r="J361" s="30">
        <v>0.26318728635998301</v>
      </c>
      <c r="K361" s="44">
        <f>Tabelle1[[#This Row],[Flüssigkeitsgeschwindigkeit]]*PI()*(Tabelle1[[#This Row],[Kanalmaße]]/1000)^2/4*1000000*60</f>
        <v>5.9376101152847083</v>
      </c>
      <c r="L361" s="15">
        <v>5.6000000000000001E-2</v>
      </c>
      <c r="M361" s="36">
        <v>22.2</v>
      </c>
      <c r="N361" s="36">
        <v>99710</v>
      </c>
      <c r="O361" s="15">
        <v>1.2</v>
      </c>
      <c r="P361" s="15">
        <v>2</v>
      </c>
      <c r="R361" t="s">
        <v>204</v>
      </c>
      <c r="S361" s="15" t="s">
        <v>205</v>
      </c>
      <c r="T361">
        <v>1.5</v>
      </c>
      <c r="U361">
        <v>1.1499999999999999</v>
      </c>
      <c r="V361" s="57">
        <v>2</v>
      </c>
      <c r="W361">
        <v>0.2</v>
      </c>
      <c r="X361" s="15">
        <v>72</v>
      </c>
    </row>
    <row r="362" spans="2:24" x14ac:dyDescent="0.25">
      <c r="B362" s="56" t="s">
        <v>28</v>
      </c>
      <c r="C362" s="36" t="s">
        <v>424</v>
      </c>
      <c r="D362" s="36">
        <v>159.5</v>
      </c>
      <c r="E362" s="15" t="s">
        <v>436</v>
      </c>
      <c r="F362" s="21">
        <v>46107</v>
      </c>
      <c r="G362" s="22">
        <v>0.60833333333333295</v>
      </c>
      <c r="H362" s="23">
        <f>(I362 *Tabelle1[[#This Row],[Umgebungsdruck]]/101325*273.15/(Tabelle1[[#This Row],[Umgebungstemperatur]]+273.15))/1.0853</f>
        <v>23.400497277471654</v>
      </c>
      <c r="I362" s="23">
        <f>Tabelle1[[#This Row],[Gasgeschwindigkeit]]*PI()*(Tabelle1[[#This Row],[Kanalmaße]]/1000)^2/4*1000000*60</f>
        <v>27.90541953045301</v>
      </c>
      <c r="J362" s="30">
        <v>0.26318728635998301</v>
      </c>
      <c r="K362" s="44">
        <f>Tabelle1[[#This Row],[Flüssigkeitsgeschwindigkeit]]*PI()*(Tabelle1[[#This Row],[Kanalmaße]]/1000)^2/4*1000000*60</f>
        <v>11.769191478510763</v>
      </c>
      <c r="L362" s="15">
        <v>0.111</v>
      </c>
      <c r="M362" s="36">
        <v>22.2</v>
      </c>
      <c r="N362" s="36">
        <v>99710</v>
      </c>
      <c r="O362" s="15">
        <v>1.2</v>
      </c>
      <c r="P362" s="15">
        <v>2</v>
      </c>
      <c r="R362" t="s">
        <v>204</v>
      </c>
      <c r="S362" s="15" t="s">
        <v>205</v>
      </c>
      <c r="T362">
        <v>1.5</v>
      </c>
      <c r="U362">
        <v>1.1499999999999999</v>
      </c>
      <c r="V362" s="57">
        <v>2</v>
      </c>
      <c r="W362">
        <v>0.2</v>
      </c>
      <c r="X362" s="15">
        <v>72</v>
      </c>
    </row>
    <row r="363" spans="2:24" x14ac:dyDescent="0.25">
      <c r="B363" s="56" t="s">
        <v>28</v>
      </c>
      <c r="C363" s="36" t="s">
        <v>424</v>
      </c>
      <c r="D363" s="36">
        <v>159.5</v>
      </c>
      <c r="E363" s="15" t="s">
        <v>437</v>
      </c>
      <c r="F363" s="21">
        <v>46107</v>
      </c>
      <c r="G363" s="22">
        <v>0.60972222222222205</v>
      </c>
      <c r="H363" s="23">
        <f>(I363 *Tabelle1[[#This Row],[Umgebungsdruck]]/101325*273.15/(Tabelle1[[#This Row],[Umgebungstemperatur]]+273.15))/1.0853</f>
        <v>23.400497277471654</v>
      </c>
      <c r="I363" s="23">
        <f>Tabelle1[[#This Row],[Gasgeschwindigkeit]]*PI()*(Tabelle1[[#This Row],[Kanalmaße]]/1000)^2/4*1000000*60</f>
        <v>27.90541953045301</v>
      </c>
      <c r="J363" s="30">
        <v>0.26318728635998301</v>
      </c>
      <c r="K363" s="44">
        <f>Tabelle1[[#This Row],[Flüssigkeitsgeschwindigkeit]]*PI()*(Tabelle1[[#This Row],[Kanalmaße]]/1000)^2/4*1000000*60</f>
        <v>17.706801593795472</v>
      </c>
      <c r="L363" s="15">
        <v>0.16700000000000001</v>
      </c>
      <c r="M363" s="36">
        <v>22.2</v>
      </c>
      <c r="N363" s="36">
        <v>99710</v>
      </c>
      <c r="O363" s="15">
        <v>1.2</v>
      </c>
      <c r="P363" s="15">
        <v>2</v>
      </c>
      <c r="R363" t="s">
        <v>204</v>
      </c>
      <c r="S363" s="15" t="s">
        <v>205</v>
      </c>
      <c r="T363">
        <v>1.5</v>
      </c>
      <c r="U363">
        <v>1.1499999999999999</v>
      </c>
      <c r="V363" s="57">
        <v>2</v>
      </c>
      <c r="W363">
        <v>0.2</v>
      </c>
      <c r="X363" s="15">
        <v>72</v>
      </c>
    </row>
    <row r="364" spans="2:24" x14ac:dyDescent="0.25">
      <c r="B364" s="71" t="s">
        <v>412</v>
      </c>
      <c r="C364" s="36"/>
      <c r="D364" s="36">
        <v>159.5</v>
      </c>
      <c r="E364" s="42" t="s">
        <v>438</v>
      </c>
      <c r="F364" s="21"/>
      <c r="G364" s="43"/>
      <c r="H364" s="23">
        <f>(I364 *Tabelle1[[#This Row],[Umgebungsdruck]]/101325*273.15/(Tabelle1[[#This Row],[Umgebungstemperatur]]+273.15))/1.0853</f>
        <v>23.400497277471654</v>
      </c>
      <c r="I364" s="44">
        <f>Tabelle1[[#This Row],[Gasgeschwindigkeit]]*PI()*(Tabelle1[[#This Row],[Kanalmaße]]/1000)^2/4*1000000*60</f>
        <v>27.90541953045301</v>
      </c>
      <c r="J364" s="45">
        <v>0.26318728635998301</v>
      </c>
      <c r="K364" s="44">
        <f>Tabelle1[[#This Row],[Flüssigkeitsgeschwindigkeit]]*PI()*(Tabelle1[[#This Row],[Kanalmaße]]/1000)^2/4*1000000*60</f>
        <v>26.507188014663878</v>
      </c>
      <c r="L364" s="42">
        <v>0.25</v>
      </c>
      <c r="M364" s="36">
        <v>22.2</v>
      </c>
      <c r="N364" s="36">
        <v>99710</v>
      </c>
      <c r="O364" s="42"/>
      <c r="P364" s="42">
        <v>2</v>
      </c>
      <c r="Q364" s="42"/>
      <c r="R364" s="42" t="s">
        <v>204</v>
      </c>
      <c r="S364" s="42" t="s">
        <v>205</v>
      </c>
      <c r="T364">
        <v>1.5</v>
      </c>
      <c r="U364">
        <v>1.1499999999999999</v>
      </c>
      <c r="V364" s="59">
        <v>2</v>
      </c>
      <c r="W364">
        <v>0.2</v>
      </c>
      <c r="X364" s="15">
        <v>72</v>
      </c>
    </row>
    <row r="365" spans="2:24" x14ac:dyDescent="0.25">
      <c r="B365" s="25" t="s">
        <v>423</v>
      </c>
      <c r="C365" s="36" t="s">
        <v>439</v>
      </c>
      <c r="D365" s="47">
        <v>458.5</v>
      </c>
      <c r="E365" s="15" t="s">
        <v>440</v>
      </c>
      <c r="F365" s="21">
        <v>46107</v>
      </c>
      <c r="G365" s="22">
        <v>0.72152777777777799</v>
      </c>
      <c r="H365" s="23">
        <f>(I365 *Tabelle1[[#This Row],[Umgebungsdruck]]/101325*273.15/(Tabelle1[[#This Row],[Umgebungstemperatur]]+273.15))/1.046</f>
        <v>6.4669910071209946</v>
      </c>
      <c r="I365" s="23">
        <f>Tabelle1[[#This Row],[Gasgeschwindigkeit]]*PI()*(Tabelle1[[#This Row],[Kanalmaße]]/1000)^2/4*1000000*60</f>
        <v>7.4220126441058873</v>
      </c>
      <c r="J365" s="30">
        <v>7.0000000000000007E-2</v>
      </c>
      <c r="K365" s="44">
        <f>Tabelle1[[#This Row],[Flüssigkeitsgeschwindigkeit]]*PI()*(Tabelle1[[#This Row],[Kanalmaße]]/1000)^2/4*1000000*60</f>
        <v>5.9376101152847083</v>
      </c>
      <c r="L365" s="15">
        <v>5.6000000000000001E-2</v>
      </c>
      <c r="M365" s="15">
        <v>22.1</v>
      </c>
      <c r="N365" s="15">
        <v>99820</v>
      </c>
      <c r="O365" s="15">
        <v>0.9</v>
      </c>
      <c r="P365" s="15">
        <v>3</v>
      </c>
      <c r="R365" t="s">
        <v>204</v>
      </c>
      <c r="S365" s="15" t="s">
        <v>205</v>
      </c>
      <c r="T365">
        <v>1.5</v>
      </c>
      <c r="U365">
        <v>1.1499999999999999</v>
      </c>
      <c r="V365" s="57">
        <v>1</v>
      </c>
      <c r="W365">
        <v>0.2</v>
      </c>
      <c r="X365" s="15">
        <v>72</v>
      </c>
    </row>
    <row r="366" spans="2:24" x14ac:dyDescent="0.25">
      <c r="B366" s="25" t="s">
        <v>423</v>
      </c>
      <c r="C366" s="36" t="s">
        <v>439</v>
      </c>
      <c r="D366" s="47">
        <v>458.5</v>
      </c>
      <c r="E366" s="15" t="s">
        <v>441</v>
      </c>
      <c r="F366" s="21">
        <v>46107</v>
      </c>
      <c r="G366" s="22">
        <v>0.72222222222222199</v>
      </c>
      <c r="H366" s="23">
        <f>(I366 *Tabelle1[[#This Row],[Umgebungsdruck]]/101325*273.15/(Tabelle1[[#This Row],[Umgebungstemperatur]]+273.15))/1.046</f>
        <v>6.4669910071209946</v>
      </c>
      <c r="I366" s="23">
        <f>Tabelle1[[#This Row],[Gasgeschwindigkeit]]*PI()*(Tabelle1[[#This Row],[Kanalmaße]]/1000)^2/4*1000000*60</f>
        <v>7.4220126441058873</v>
      </c>
      <c r="J366" s="30">
        <v>7.0000000000000007E-2</v>
      </c>
      <c r="K366" s="44">
        <f>Tabelle1[[#This Row],[Flüssigkeitsgeschwindigkeit]]*PI()*(Tabelle1[[#This Row],[Kanalmaße]]/1000)^2/4*1000000*60</f>
        <v>11.769191478510763</v>
      </c>
      <c r="L366" s="15">
        <v>0.111</v>
      </c>
      <c r="M366" s="15">
        <v>22.1</v>
      </c>
      <c r="N366" s="15">
        <v>99820</v>
      </c>
      <c r="O366" s="15">
        <v>0.9</v>
      </c>
      <c r="P366" s="15">
        <v>3</v>
      </c>
      <c r="R366" t="s">
        <v>204</v>
      </c>
      <c r="S366" s="15" t="s">
        <v>205</v>
      </c>
      <c r="T366">
        <v>1.5</v>
      </c>
      <c r="U366">
        <v>1.1499999999999999</v>
      </c>
      <c r="V366" s="57">
        <v>1</v>
      </c>
      <c r="W366">
        <v>0.2</v>
      </c>
      <c r="X366" s="15">
        <v>72</v>
      </c>
    </row>
    <row r="367" spans="2:24" x14ac:dyDescent="0.25">
      <c r="B367" s="25" t="s">
        <v>423</v>
      </c>
      <c r="C367" s="36" t="s">
        <v>439</v>
      </c>
      <c r="D367" s="47">
        <v>458.5</v>
      </c>
      <c r="E367" s="15" t="s">
        <v>442</v>
      </c>
      <c r="F367" s="21">
        <v>46107</v>
      </c>
      <c r="G367" s="22">
        <v>0.72430555555555598</v>
      </c>
      <c r="H367" s="23">
        <f>(I367 *Tabelle1[[#This Row],[Umgebungsdruck]]/101325*273.15/(Tabelle1[[#This Row],[Umgebungstemperatur]]+273.15))/1.046</f>
        <v>12.379668499345902</v>
      </c>
      <c r="I367" s="23">
        <f>Tabelle1[[#This Row],[Gasgeschwindigkeit]]*PI()*(Tabelle1[[#This Row],[Kanalmaße]]/1000)^2/4*1000000*60</f>
        <v>14.207852775859841</v>
      </c>
      <c r="J367" s="30">
        <v>0.13400000000000001</v>
      </c>
      <c r="K367" s="44">
        <f>Tabelle1[[#This Row],[Flüssigkeitsgeschwindigkeit]]*PI()*(Tabelle1[[#This Row],[Kanalmaße]]/1000)^2/4*1000000*60</f>
        <v>5.9376101152847083</v>
      </c>
      <c r="L367" s="15">
        <v>5.6000000000000001E-2</v>
      </c>
      <c r="M367" s="15">
        <v>22.1</v>
      </c>
      <c r="N367" s="15">
        <v>99820</v>
      </c>
      <c r="O367" s="15">
        <v>1</v>
      </c>
      <c r="P367" s="15">
        <v>3</v>
      </c>
      <c r="R367" t="s">
        <v>204</v>
      </c>
      <c r="S367" s="15" t="s">
        <v>205</v>
      </c>
      <c r="T367">
        <v>1.5</v>
      </c>
      <c r="U367">
        <v>1.1499999999999999</v>
      </c>
      <c r="V367" s="57">
        <v>1</v>
      </c>
      <c r="W367">
        <v>0.2</v>
      </c>
      <c r="X367" s="15">
        <v>72</v>
      </c>
    </row>
    <row r="368" spans="2:24" x14ac:dyDescent="0.25">
      <c r="B368" s="56" t="s">
        <v>28</v>
      </c>
      <c r="C368" s="36" t="s">
        <v>439</v>
      </c>
      <c r="D368" s="47">
        <v>458.5</v>
      </c>
      <c r="E368" s="15" t="s">
        <v>443</v>
      </c>
      <c r="F368" s="21">
        <v>46107</v>
      </c>
      <c r="G368" s="22">
        <v>0.72638888888888897</v>
      </c>
      <c r="H368" s="23">
        <f>(I368 *Tabelle1[[#This Row],[Umgebungsdruck]]/101325*273.15/(Tabelle1[[#This Row],[Umgebungstemperatur]]+273.15))/1.046</f>
        <v>12.379668499345902</v>
      </c>
      <c r="I368" s="23">
        <f>Tabelle1[[#This Row],[Gasgeschwindigkeit]]*PI()*(Tabelle1[[#This Row],[Kanalmaße]]/1000)^2/4*1000000*60</f>
        <v>14.207852775859841</v>
      </c>
      <c r="J368" s="30">
        <v>0.13400000000000001</v>
      </c>
      <c r="K368" s="44">
        <f>Tabelle1[[#This Row],[Flüssigkeitsgeschwindigkeit]]*PI()*(Tabelle1[[#This Row],[Kanalmaße]]/1000)^2/4*1000000*60</f>
        <v>11.769191478510763</v>
      </c>
      <c r="L368" s="15">
        <v>0.111</v>
      </c>
      <c r="M368" s="15">
        <v>22.1</v>
      </c>
      <c r="N368" s="15">
        <v>99820</v>
      </c>
      <c r="O368" s="15">
        <v>1</v>
      </c>
      <c r="P368" s="15">
        <v>3</v>
      </c>
      <c r="R368" t="s">
        <v>204</v>
      </c>
      <c r="S368" s="15" t="s">
        <v>205</v>
      </c>
      <c r="T368">
        <v>1.5</v>
      </c>
      <c r="U368">
        <v>1.1499999999999999</v>
      </c>
      <c r="V368" s="57">
        <v>1</v>
      </c>
      <c r="W368">
        <v>0.2</v>
      </c>
      <c r="X368" s="15">
        <v>72</v>
      </c>
    </row>
    <row r="369" spans="2:24" x14ac:dyDescent="0.25">
      <c r="B369" s="56" t="s">
        <v>28</v>
      </c>
      <c r="C369" s="36" t="s">
        <v>439</v>
      </c>
      <c r="D369" s="47">
        <v>458.5</v>
      </c>
      <c r="E369" s="15" t="s">
        <v>444</v>
      </c>
      <c r="F369" s="21">
        <v>46107</v>
      </c>
      <c r="G369" s="22">
        <v>0.72708333333333297</v>
      </c>
      <c r="H369" s="23">
        <f>(I369 *Tabelle1[[#This Row],[Umgebungsdruck]]/101325*273.15/(Tabelle1[[#This Row],[Umgebungstemperatur]]+273.15))/1.046</f>
        <v>12.379668499345902</v>
      </c>
      <c r="I369" s="23">
        <f>Tabelle1[[#This Row],[Gasgeschwindigkeit]]*PI()*(Tabelle1[[#This Row],[Kanalmaße]]/1000)^2/4*1000000*60</f>
        <v>14.207852775859841</v>
      </c>
      <c r="J369" s="30">
        <v>0.13400000000000001</v>
      </c>
      <c r="K369" s="44">
        <f>Tabelle1[[#This Row],[Flüssigkeitsgeschwindigkeit]]*PI()*(Tabelle1[[#This Row],[Kanalmaße]]/1000)^2/4*1000000*60</f>
        <v>17.706801593795472</v>
      </c>
      <c r="L369" s="15">
        <v>0.16700000000000001</v>
      </c>
      <c r="M369" s="15">
        <v>22.1</v>
      </c>
      <c r="N369" s="15">
        <v>99820</v>
      </c>
      <c r="O369" s="15">
        <v>1</v>
      </c>
      <c r="P369" s="15">
        <v>3</v>
      </c>
      <c r="R369" t="s">
        <v>204</v>
      </c>
      <c r="S369" s="15" t="s">
        <v>205</v>
      </c>
      <c r="T369">
        <v>1.5</v>
      </c>
      <c r="U369">
        <v>1.1499999999999999</v>
      </c>
      <c r="V369" s="57">
        <v>1</v>
      </c>
      <c r="W369">
        <v>0.2</v>
      </c>
      <c r="X369" s="15">
        <v>72</v>
      </c>
    </row>
    <row r="370" spans="2:24" x14ac:dyDescent="0.25">
      <c r="B370" s="71" t="s">
        <v>412</v>
      </c>
      <c r="D370" s="47">
        <v>458.5</v>
      </c>
      <c r="E370" s="15" t="s">
        <v>445</v>
      </c>
      <c r="F370" s="21"/>
      <c r="G370" s="22"/>
      <c r="H370" s="23">
        <f>(I370 *Tabelle1[[#This Row],[Umgebungsdruck]]/101325*273.15/(Tabelle1[[#This Row],[Umgebungstemperatur]]+273.15))/1.046</f>
        <v>12.379668499345902</v>
      </c>
      <c r="I370" s="23">
        <f>Tabelle1[[#This Row],[Gasgeschwindigkeit]]*PI()*(Tabelle1[[#This Row],[Kanalmaße]]/1000)^2/4*1000000*60</f>
        <v>14.207852775859841</v>
      </c>
      <c r="J370" s="30">
        <v>0.13400000000000001</v>
      </c>
      <c r="K370" s="44">
        <f>Tabelle1[[#This Row],[Flüssigkeitsgeschwindigkeit]]*PI()*(Tabelle1[[#This Row],[Kanalmaße]]/1000)^2/4*1000000*60</f>
        <v>26.507188014663878</v>
      </c>
      <c r="L370" s="15">
        <v>0.25</v>
      </c>
      <c r="M370" s="15">
        <v>22.1</v>
      </c>
      <c r="N370" s="15">
        <v>99820</v>
      </c>
      <c r="P370" s="15">
        <v>3</v>
      </c>
      <c r="R370" t="s">
        <v>204</v>
      </c>
      <c r="S370" s="15" t="s">
        <v>205</v>
      </c>
      <c r="T370">
        <v>1.5</v>
      </c>
      <c r="U370">
        <v>1.1499999999999999</v>
      </c>
      <c r="V370" s="57">
        <v>1</v>
      </c>
      <c r="W370">
        <v>0.2</v>
      </c>
      <c r="X370" s="15">
        <v>72</v>
      </c>
    </row>
    <row r="371" spans="2:24" x14ac:dyDescent="0.25">
      <c r="B371" s="56" t="s">
        <v>414</v>
      </c>
      <c r="C371" s="36" t="s">
        <v>439</v>
      </c>
      <c r="D371" s="47">
        <v>458.5</v>
      </c>
      <c r="E371" s="15" t="s">
        <v>446</v>
      </c>
      <c r="F371" s="21">
        <v>46107</v>
      </c>
      <c r="G371" s="22">
        <v>0.71597222222222201</v>
      </c>
      <c r="H371" s="23">
        <f>(I371 *Tabelle1[[#This Row],[Umgebungsdruck]]/101325*273.15/(Tabelle1[[#This Row],[Umgebungstemperatur]]+273.15))/1.0853</f>
        <v>17.659146500616615</v>
      </c>
      <c r="I371" s="23">
        <f>Tabelle1[[#This Row],[Gasgeschwindigkeit]]*PI()*(Tabelle1[[#This Row],[Kanalmaße]]/1000)^2/4*1000000*60</f>
        <v>21.028449934742717</v>
      </c>
      <c r="J371" s="30">
        <v>0.19832780756591101</v>
      </c>
      <c r="K371" s="44">
        <f>Tabelle1[[#This Row],[Flüssigkeitsgeschwindigkeit]]*PI()*(Tabelle1[[#This Row],[Kanalmaße]]/1000)^2/4*1000000*60</f>
        <v>5.9376101152847083</v>
      </c>
      <c r="L371" s="15">
        <v>5.6000000000000001E-2</v>
      </c>
      <c r="M371" s="15">
        <v>22.1</v>
      </c>
      <c r="N371" s="15">
        <v>99820</v>
      </c>
      <c r="O371" s="15">
        <v>1.1000000000000001</v>
      </c>
      <c r="P371" s="15">
        <v>3</v>
      </c>
      <c r="R371" t="s">
        <v>204</v>
      </c>
      <c r="S371" s="15" t="s">
        <v>205</v>
      </c>
      <c r="T371">
        <v>1.5</v>
      </c>
      <c r="U371">
        <v>1.1499999999999999</v>
      </c>
      <c r="V371" s="57">
        <v>2</v>
      </c>
      <c r="W371">
        <v>0.2</v>
      </c>
      <c r="X371" s="15">
        <v>72</v>
      </c>
    </row>
    <row r="372" spans="2:24" x14ac:dyDescent="0.25">
      <c r="B372" s="56" t="s">
        <v>414</v>
      </c>
      <c r="C372" s="36" t="s">
        <v>439</v>
      </c>
      <c r="D372" s="47">
        <v>458.5</v>
      </c>
      <c r="E372" s="15" t="s">
        <v>447</v>
      </c>
      <c r="F372" s="21">
        <v>46107</v>
      </c>
      <c r="G372" s="22">
        <v>0.71736111111111101</v>
      </c>
      <c r="H372" s="23">
        <f>(I372 *Tabelle1[[#This Row],[Umgebungsdruck]]/101325*273.15/(Tabelle1[[#This Row],[Umgebungstemperatur]]+273.15))/1.0853</f>
        <v>17.659146500616615</v>
      </c>
      <c r="I372" s="23">
        <f>Tabelle1[[#This Row],[Gasgeschwindigkeit]]*PI()*(Tabelle1[[#This Row],[Kanalmaße]]/1000)^2/4*1000000*60</f>
        <v>21.028449934742717</v>
      </c>
      <c r="J372" s="30">
        <v>0.19832780756591101</v>
      </c>
      <c r="K372" s="44">
        <f>Tabelle1[[#This Row],[Flüssigkeitsgeschwindigkeit]]*PI()*(Tabelle1[[#This Row],[Kanalmaße]]/1000)^2/4*1000000*60</f>
        <v>11.769191478510763</v>
      </c>
      <c r="L372" s="15">
        <v>0.111</v>
      </c>
      <c r="M372" s="15">
        <v>22.1</v>
      </c>
      <c r="N372" s="15">
        <v>99820</v>
      </c>
      <c r="O372" s="15">
        <v>1.1000000000000001</v>
      </c>
      <c r="P372" s="15">
        <v>3</v>
      </c>
      <c r="R372" t="s">
        <v>204</v>
      </c>
      <c r="S372" s="15" t="s">
        <v>205</v>
      </c>
      <c r="T372">
        <v>1.5</v>
      </c>
      <c r="U372">
        <v>1.1499999999999999</v>
      </c>
      <c r="V372" s="57">
        <v>2</v>
      </c>
      <c r="W372">
        <v>0.2</v>
      </c>
      <c r="X372" s="15">
        <v>72</v>
      </c>
    </row>
    <row r="373" spans="2:24" x14ac:dyDescent="0.25">
      <c r="B373" s="56" t="s">
        <v>414</v>
      </c>
      <c r="C373" s="36" t="s">
        <v>439</v>
      </c>
      <c r="D373" s="47">
        <v>458.5</v>
      </c>
      <c r="E373" s="15" t="s">
        <v>448</v>
      </c>
      <c r="F373" s="21">
        <v>46107</v>
      </c>
      <c r="G373" s="22">
        <v>0.718055555555556</v>
      </c>
      <c r="H373" s="23">
        <f>(I373 *Tabelle1[[#This Row],[Umgebungsdruck]]/101325*273.15/(Tabelle1[[#This Row],[Umgebungstemperatur]]+273.15))/1.0853</f>
        <v>17.659146500616615</v>
      </c>
      <c r="I373" s="23">
        <f>Tabelle1[[#This Row],[Gasgeschwindigkeit]]*PI()*(Tabelle1[[#This Row],[Kanalmaße]]/1000)^2/4*1000000*60</f>
        <v>21.028449934742717</v>
      </c>
      <c r="J373" s="30">
        <v>0.19832780756591101</v>
      </c>
      <c r="K373" s="44">
        <f>Tabelle1[[#This Row],[Flüssigkeitsgeschwindigkeit]]*PI()*(Tabelle1[[#This Row],[Kanalmaße]]/1000)^2/4*1000000*60</f>
        <v>17.706801593795472</v>
      </c>
      <c r="L373" s="15">
        <v>0.16700000000000001</v>
      </c>
      <c r="M373" s="15">
        <v>22.1</v>
      </c>
      <c r="N373" s="15">
        <v>99820</v>
      </c>
      <c r="O373" s="15">
        <v>1.1000000000000001</v>
      </c>
      <c r="P373" s="15">
        <v>3</v>
      </c>
      <c r="R373" t="s">
        <v>204</v>
      </c>
      <c r="S373" s="15" t="s">
        <v>205</v>
      </c>
      <c r="T373">
        <v>1.5</v>
      </c>
      <c r="U373">
        <v>1.1499999999999999</v>
      </c>
      <c r="V373" s="57">
        <v>2</v>
      </c>
      <c r="W373">
        <v>0.2</v>
      </c>
      <c r="X373" s="15">
        <v>72</v>
      </c>
    </row>
    <row r="374" spans="2:24" x14ac:dyDescent="0.25">
      <c r="B374" s="71" t="s">
        <v>412</v>
      </c>
      <c r="D374" s="47">
        <v>458.5</v>
      </c>
      <c r="E374" s="15" t="s">
        <v>449</v>
      </c>
      <c r="F374" s="21"/>
      <c r="G374" s="22"/>
      <c r="H374" s="23">
        <f>(I374 *Tabelle1[[#This Row],[Umgebungsdruck]]/101325*273.15/(Tabelle1[[#This Row],[Umgebungstemperatur]]+273.15))/1.0853</f>
        <v>17.659146500616615</v>
      </c>
      <c r="I374" s="23">
        <f>Tabelle1[[#This Row],[Gasgeschwindigkeit]]*PI()*(Tabelle1[[#This Row],[Kanalmaße]]/1000)^2/4*1000000*60</f>
        <v>21.028449934742717</v>
      </c>
      <c r="J374" s="30">
        <v>0.19832780756591101</v>
      </c>
      <c r="K374" s="44">
        <f>Tabelle1[[#This Row],[Flüssigkeitsgeschwindigkeit]]*PI()*(Tabelle1[[#This Row],[Kanalmaße]]/1000)^2/4*1000000*60</f>
        <v>26.507188014663878</v>
      </c>
      <c r="L374" s="15">
        <v>0.25</v>
      </c>
      <c r="M374" s="15">
        <v>22.1</v>
      </c>
      <c r="N374" s="15">
        <v>99820</v>
      </c>
      <c r="P374" s="15">
        <v>3</v>
      </c>
      <c r="R374" t="s">
        <v>204</v>
      </c>
      <c r="S374" s="15" t="s">
        <v>205</v>
      </c>
      <c r="T374">
        <v>1.5</v>
      </c>
      <c r="U374">
        <v>1.1499999999999999</v>
      </c>
      <c r="V374" s="59">
        <v>2</v>
      </c>
      <c r="W374">
        <v>0.2</v>
      </c>
      <c r="X374" s="15">
        <v>72</v>
      </c>
    </row>
    <row r="375" spans="2:24" x14ac:dyDescent="0.25">
      <c r="B375" s="56" t="s">
        <v>28</v>
      </c>
      <c r="C375" s="36" t="s">
        <v>439</v>
      </c>
      <c r="D375" s="47">
        <v>458.5</v>
      </c>
      <c r="E375" s="15" t="s">
        <v>450</v>
      </c>
      <c r="F375" s="21">
        <v>46107</v>
      </c>
      <c r="G375" s="22">
        <v>0.71250000000000002</v>
      </c>
      <c r="H375" s="23">
        <f>(I375 *Tabelle1[[#This Row],[Umgebungsdruck]]/101325*273.15/(Tabelle1[[#This Row],[Umgebungstemperatur]]+273.15))/1.0853</f>
        <v>23.434247088049428</v>
      </c>
      <c r="I375" s="23">
        <f>Tabelle1[[#This Row],[Gasgeschwindigkeit]]*PI()*(Tabelle1[[#This Row],[Kanalmaße]]/1000)^2/4*1000000*60</f>
        <v>27.90541953045301</v>
      </c>
      <c r="J375" s="30">
        <v>0.26318728635998301</v>
      </c>
      <c r="K375" s="44">
        <f>Tabelle1[[#This Row],[Flüssigkeitsgeschwindigkeit]]*PI()*(Tabelle1[[#This Row],[Kanalmaße]]/1000)^2/4*1000000*60</f>
        <v>5.9376101152847083</v>
      </c>
      <c r="L375" s="15">
        <v>5.6000000000000001E-2</v>
      </c>
      <c r="M375" s="15">
        <v>22.1</v>
      </c>
      <c r="N375" s="15">
        <v>99820</v>
      </c>
      <c r="O375" s="15">
        <v>1.2</v>
      </c>
      <c r="P375" s="15">
        <v>3</v>
      </c>
      <c r="R375" t="s">
        <v>204</v>
      </c>
      <c r="S375" s="15" t="s">
        <v>205</v>
      </c>
      <c r="T375">
        <v>1.5</v>
      </c>
      <c r="U375">
        <v>1.1499999999999999</v>
      </c>
      <c r="V375" s="57">
        <v>2</v>
      </c>
      <c r="W375">
        <v>0.2</v>
      </c>
      <c r="X375" s="15">
        <v>72</v>
      </c>
    </row>
    <row r="376" spans="2:24" x14ac:dyDescent="0.25">
      <c r="B376" s="56" t="s">
        <v>28</v>
      </c>
      <c r="C376" s="36" t="s">
        <v>439</v>
      </c>
      <c r="D376" s="47">
        <v>458.5</v>
      </c>
      <c r="E376" s="15" t="s">
        <v>451</v>
      </c>
      <c r="F376" s="21">
        <v>46107</v>
      </c>
      <c r="G376" s="22">
        <v>0.71319444444444502</v>
      </c>
      <c r="H376" s="23">
        <f>(I376 *Tabelle1[[#This Row],[Umgebungsdruck]]/101325*273.15/(Tabelle1[[#This Row],[Umgebungstemperatur]]+273.15))/1.0853</f>
        <v>23.434247088049428</v>
      </c>
      <c r="I376" s="23">
        <f>Tabelle1[[#This Row],[Gasgeschwindigkeit]]*PI()*(Tabelle1[[#This Row],[Kanalmaße]]/1000)^2/4*1000000*60</f>
        <v>27.90541953045301</v>
      </c>
      <c r="J376" s="30">
        <v>0.26318728635998301</v>
      </c>
      <c r="K376" s="44">
        <f>Tabelle1[[#This Row],[Flüssigkeitsgeschwindigkeit]]*PI()*(Tabelle1[[#This Row],[Kanalmaße]]/1000)^2/4*1000000*60</f>
        <v>11.769191478510763</v>
      </c>
      <c r="L376" s="15">
        <v>0.111</v>
      </c>
      <c r="M376" s="15">
        <v>22.1</v>
      </c>
      <c r="N376" s="15">
        <v>99820</v>
      </c>
      <c r="O376" s="15">
        <v>1.2</v>
      </c>
      <c r="P376" s="15">
        <v>3</v>
      </c>
      <c r="R376" t="s">
        <v>204</v>
      </c>
      <c r="S376" s="15" t="s">
        <v>205</v>
      </c>
      <c r="T376">
        <v>1.5</v>
      </c>
      <c r="U376">
        <v>1.1499999999999999</v>
      </c>
      <c r="V376" s="57">
        <v>2</v>
      </c>
      <c r="W376">
        <v>0.2</v>
      </c>
      <c r="X376" s="15">
        <v>72</v>
      </c>
    </row>
    <row r="377" spans="2:24" x14ac:dyDescent="0.25">
      <c r="B377" s="56" t="s">
        <v>28</v>
      </c>
      <c r="C377" s="36" t="s">
        <v>439</v>
      </c>
      <c r="D377" s="47">
        <v>458.5</v>
      </c>
      <c r="E377" s="15" t="s">
        <v>452</v>
      </c>
      <c r="F377" s="21">
        <v>46107</v>
      </c>
      <c r="G377" s="22">
        <v>0.71458333333333302</v>
      </c>
      <c r="H377" s="23">
        <f>(I377 *Tabelle1[[#This Row],[Umgebungsdruck]]/101325*273.15/(Tabelle1[[#This Row],[Umgebungstemperatur]]+273.15))/1.0853</f>
        <v>23.434247088049428</v>
      </c>
      <c r="I377" s="23">
        <f>Tabelle1[[#This Row],[Gasgeschwindigkeit]]*PI()*(Tabelle1[[#This Row],[Kanalmaße]]/1000)^2/4*1000000*60</f>
        <v>27.90541953045301</v>
      </c>
      <c r="J377" s="30">
        <v>0.26318728635998301</v>
      </c>
      <c r="K377" s="44">
        <f>Tabelle1[[#This Row],[Flüssigkeitsgeschwindigkeit]]*PI()*(Tabelle1[[#This Row],[Kanalmaße]]/1000)^2/4*1000000*60</f>
        <v>17.706801593795472</v>
      </c>
      <c r="L377" s="15">
        <v>0.16700000000000001</v>
      </c>
      <c r="M377" s="15">
        <v>22.1</v>
      </c>
      <c r="N377" s="15">
        <v>99820</v>
      </c>
      <c r="O377" s="15">
        <v>1.2</v>
      </c>
      <c r="P377" s="15">
        <v>3</v>
      </c>
      <c r="R377" t="s">
        <v>204</v>
      </c>
      <c r="S377" s="15" t="s">
        <v>205</v>
      </c>
      <c r="T377">
        <v>1.5</v>
      </c>
      <c r="U377">
        <v>1.1499999999999999</v>
      </c>
      <c r="V377" s="57">
        <v>2</v>
      </c>
      <c r="W377">
        <v>0.2</v>
      </c>
      <c r="X377" s="15">
        <v>72</v>
      </c>
    </row>
    <row r="378" spans="2:24" x14ac:dyDescent="0.25">
      <c r="B378" s="71" t="s">
        <v>412</v>
      </c>
      <c r="C378" s="65"/>
      <c r="D378" s="47">
        <v>458.5</v>
      </c>
      <c r="E378" s="65" t="s">
        <v>453</v>
      </c>
      <c r="F378" s="66"/>
      <c r="G378" s="67"/>
      <c r="H378" s="23">
        <f>(I378 *Tabelle1[[#This Row],[Umgebungsdruck]]/101325*273.15/(Tabelle1[[#This Row],[Umgebungstemperatur]]+273.15))/1.0853</f>
        <v>23.434247088049428</v>
      </c>
      <c r="I378" s="68">
        <f>Tabelle1[[#This Row],[Gasgeschwindigkeit]]*PI()*(Tabelle1[[#This Row],[Kanalmaße]]/1000)^2/4*1000000*60</f>
        <v>27.90541953045301</v>
      </c>
      <c r="J378" s="69">
        <v>0.26318728635998301</v>
      </c>
      <c r="K378" s="44">
        <f>Tabelle1[[#This Row],[Flüssigkeitsgeschwindigkeit]]*PI()*(Tabelle1[[#This Row],[Kanalmaße]]/1000)^2/4*1000000*60</f>
        <v>26.507188014663878</v>
      </c>
      <c r="L378" s="65">
        <v>0.25</v>
      </c>
      <c r="M378" s="15">
        <v>22.1</v>
      </c>
      <c r="N378" s="15">
        <v>99820</v>
      </c>
      <c r="O378" s="65"/>
      <c r="P378" s="65">
        <v>3</v>
      </c>
      <c r="Q378" s="65"/>
      <c r="R378" s="65" t="s">
        <v>204</v>
      </c>
      <c r="S378" s="65" t="s">
        <v>205</v>
      </c>
      <c r="T378" s="65">
        <v>1.5</v>
      </c>
      <c r="U378" s="65">
        <v>1.1499999999999999</v>
      </c>
      <c r="V378" s="70">
        <v>2</v>
      </c>
      <c r="W378">
        <v>0.2</v>
      </c>
      <c r="X378" s="15">
        <v>72</v>
      </c>
    </row>
    <row r="379" spans="2:24" x14ac:dyDescent="0.25">
      <c r="B379" s="24"/>
      <c r="C379" s="36" t="s">
        <v>454</v>
      </c>
      <c r="D379" s="15">
        <v>0</v>
      </c>
      <c r="E379" s="15" t="s">
        <v>455</v>
      </c>
      <c r="F379" s="21">
        <v>46114</v>
      </c>
      <c r="G379" s="22">
        <v>0.65625</v>
      </c>
      <c r="H379" s="23">
        <f>(I379 *Tabelle1[[#This Row],[Umgebungsdruck]]/101325*273.15/(Tabelle1[[#This Row],[Umgebungstemperatur]]+273.15))/1.046</f>
        <v>3.6729106574241612</v>
      </c>
      <c r="I379" s="23">
        <f>Tabelle1[[#This Row],[Gasgeschwindigkeit]]*60</f>
        <v>4.2</v>
      </c>
      <c r="J379" s="30">
        <v>7.0000000000000007E-2</v>
      </c>
      <c r="K379" s="72">
        <f>Tabelle1[[#This Row],[Flüssigkeitsgeschwindigkeit]]*60</f>
        <v>6.66</v>
      </c>
      <c r="L379" s="15">
        <v>0.111</v>
      </c>
      <c r="M379" s="15">
        <v>22</v>
      </c>
      <c r="N379" s="15">
        <v>100150</v>
      </c>
      <c r="O379" s="15">
        <v>0.8</v>
      </c>
      <c r="P379" s="15">
        <v>1</v>
      </c>
      <c r="R379" t="s">
        <v>25</v>
      </c>
      <c r="S379" s="15" t="s">
        <v>26</v>
      </c>
      <c r="T379">
        <v>1</v>
      </c>
      <c r="U379">
        <v>0.6</v>
      </c>
      <c r="V379">
        <v>1</v>
      </c>
      <c r="W379">
        <v>0.2</v>
      </c>
      <c r="X379" s="15">
        <v>72</v>
      </c>
    </row>
    <row r="380" spans="2:24" x14ac:dyDescent="0.25">
      <c r="B380" s="24"/>
      <c r="C380" s="36" t="s">
        <v>454</v>
      </c>
      <c r="D380" s="15">
        <v>0</v>
      </c>
      <c r="E380" s="15" t="s">
        <v>456</v>
      </c>
      <c r="F380" s="21">
        <v>46114</v>
      </c>
      <c r="G380" s="22">
        <v>0.66805555555555596</v>
      </c>
      <c r="H380" s="23">
        <f>(I380 *Tabelle1[[#This Row],[Umgebungsdruck]]/101325*273.15/(Tabelle1[[#This Row],[Umgebungstemperatur]]+273.15))/1.046</f>
        <v>7.0310004013548228</v>
      </c>
      <c r="I380" s="23">
        <f>Tabelle1[[#This Row],[Gasgeschwindigkeit]]*60</f>
        <v>8.0400000000000009</v>
      </c>
      <c r="J380" s="30">
        <v>0.13400000000000001</v>
      </c>
      <c r="K380" s="72">
        <f>Tabelle1[[#This Row],[Flüssigkeitsgeschwindigkeit]]*60</f>
        <v>10.020000000000001</v>
      </c>
      <c r="L380" s="15">
        <v>0.16700000000000001</v>
      </c>
      <c r="M380" s="15">
        <v>22</v>
      </c>
      <c r="N380" s="15">
        <v>100150</v>
      </c>
      <c r="O380" s="15">
        <v>0.9</v>
      </c>
      <c r="P380" s="15">
        <v>1</v>
      </c>
      <c r="R380" t="s">
        <v>25</v>
      </c>
      <c r="S380" s="15" t="s">
        <v>26</v>
      </c>
      <c r="T380">
        <v>1</v>
      </c>
      <c r="U380">
        <v>0.6</v>
      </c>
      <c r="V380">
        <v>1</v>
      </c>
      <c r="W380">
        <v>0.2</v>
      </c>
      <c r="X380" s="15">
        <v>72</v>
      </c>
    </row>
    <row r="381" spans="2:24" x14ac:dyDescent="0.25">
      <c r="B381" s="24"/>
      <c r="C381" s="36" t="s">
        <v>454</v>
      </c>
      <c r="D381" s="15">
        <v>0</v>
      </c>
      <c r="E381" s="15" t="s">
        <v>457</v>
      </c>
      <c r="F381" s="21">
        <v>46114</v>
      </c>
      <c r="G381" s="22">
        <v>0.67291666666666705</v>
      </c>
      <c r="H381" s="23">
        <f>(I381 *Tabelle1[[#This Row],[Umgebungsdruck]]/101325*273.15/(Tabelle1[[#This Row],[Umgebungstemperatur]]+273.15))/1.046</f>
        <v>10.389090145285484</v>
      </c>
      <c r="I381" s="23">
        <f>Tabelle1[[#This Row],[Gasgeschwindigkeit]]*60</f>
        <v>11.88</v>
      </c>
      <c r="J381" s="30">
        <v>0.19800000000000001</v>
      </c>
      <c r="K381" s="72">
        <f>Tabelle1[[#This Row],[Flüssigkeitsgeschwindigkeit]]*60</f>
        <v>3.36</v>
      </c>
      <c r="L381" s="15">
        <v>5.6000000000000001E-2</v>
      </c>
      <c r="M381" s="15">
        <v>22</v>
      </c>
      <c r="N381" s="15">
        <v>100150</v>
      </c>
      <c r="O381" s="15">
        <v>0.9</v>
      </c>
      <c r="P381" s="15">
        <v>1</v>
      </c>
      <c r="R381" t="s">
        <v>25</v>
      </c>
      <c r="S381" s="15" t="s">
        <v>26</v>
      </c>
      <c r="T381">
        <v>1</v>
      </c>
      <c r="U381">
        <v>0.6</v>
      </c>
      <c r="V381">
        <v>1</v>
      </c>
      <c r="W381">
        <v>0.2</v>
      </c>
      <c r="X381" s="15">
        <v>72</v>
      </c>
    </row>
    <row r="382" spans="2:24" x14ac:dyDescent="0.25">
      <c r="B382" s="24"/>
      <c r="C382" s="36" t="s">
        <v>454</v>
      </c>
      <c r="D382" s="15">
        <v>0</v>
      </c>
      <c r="E382" s="15" t="s">
        <v>458</v>
      </c>
      <c r="F382" s="21">
        <v>46114</v>
      </c>
      <c r="G382" s="22">
        <v>0.67361111111111105</v>
      </c>
      <c r="H382" s="23">
        <f>(I382 *Tabelle1[[#This Row],[Umgebungsdruck]]/101325*273.15/(Tabelle1[[#This Row],[Umgebungstemperatur]]+273.15))/1.046</f>
        <v>10.389090145285484</v>
      </c>
      <c r="I382" s="23">
        <f>Tabelle1[[#This Row],[Gasgeschwindigkeit]]*60</f>
        <v>11.88</v>
      </c>
      <c r="J382" s="30">
        <v>0.19800000000000001</v>
      </c>
      <c r="K382" s="72">
        <f>Tabelle1[[#This Row],[Flüssigkeitsgeschwindigkeit]]*60</f>
        <v>10.020000000000001</v>
      </c>
      <c r="L382" s="15">
        <v>0.16700000000000001</v>
      </c>
      <c r="M382" s="15">
        <v>22</v>
      </c>
      <c r="N382" s="15">
        <v>100150</v>
      </c>
      <c r="O382" s="15">
        <v>0.9</v>
      </c>
      <c r="P382" s="15">
        <v>1</v>
      </c>
      <c r="R382" t="s">
        <v>25</v>
      </c>
      <c r="S382" s="15" t="s">
        <v>26</v>
      </c>
      <c r="T382">
        <v>1</v>
      </c>
      <c r="U382">
        <v>0.6</v>
      </c>
      <c r="V382">
        <v>1</v>
      </c>
      <c r="W382">
        <v>0.2</v>
      </c>
      <c r="X382" s="15">
        <v>72</v>
      </c>
    </row>
    <row r="383" spans="2:24" x14ac:dyDescent="0.25">
      <c r="B383" s="24"/>
      <c r="C383" s="36" t="s">
        <v>454</v>
      </c>
      <c r="D383" s="15">
        <v>0</v>
      </c>
      <c r="E383" s="15" t="s">
        <v>459</v>
      </c>
      <c r="F383" s="21">
        <v>46114</v>
      </c>
      <c r="G383" s="22">
        <v>0.67430555555555605</v>
      </c>
      <c r="H383" s="23">
        <f>(I383 *Tabelle1[[#This Row],[Umgebungsdruck]]/101325*273.15/(Tabelle1[[#This Row],[Umgebungstemperatur]]+273.15))/1.046</f>
        <v>10.389090145285484</v>
      </c>
      <c r="I383" s="23">
        <f>Tabelle1[[#This Row],[Gasgeschwindigkeit]]*60</f>
        <v>11.88</v>
      </c>
      <c r="J383" s="30">
        <v>0.19800000000000001</v>
      </c>
      <c r="K383" s="72">
        <f>Tabelle1[[#This Row],[Flüssigkeitsgeschwindigkeit]]*60</f>
        <v>15</v>
      </c>
      <c r="L383" s="15">
        <v>0.25</v>
      </c>
      <c r="M383" s="15">
        <v>22</v>
      </c>
      <c r="N383" s="15">
        <v>100150</v>
      </c>
      <c r="O383" s="15">
        <v>0.9</v>
      </c>
      <c r="P383" s="15">
        <v>1</v>
      </c>
      <c r="R383" t="s">
        <v>25</v>
      </c>
      <c r="S383" s="15" t="s">
        <v>26</v>
      </c>
      <c r="T383">
        <v>1</v>
      </c>
      <c r="U383">
        <v>0.6</v>
      </c>
      <c r="V383">
        <v>1</v>
      </c>
      <c r="W383">
        <v>0.2</v>
      </c>
      <c r="X383" s="15">
        <v>72</v>
      </c>
    </row>
    <row r="384" spans="2:24" x14ac:dyDescent="0.25">
      <c r="B384" s="24"/>
      <c r="C384" s="36" t="s">
        <v>454</v>
      </c>
      <c r="D384" s="15">
        <v>0</v>
      </c>
      <c r="E384" s="15" t="s">
        <v>460</v>
      </c>
      <c r="F384" s="21">
        <v>46114</v>
      </c>
      <c r="G384" s="22">
        <v>0.67777777777777803</v>
      </c>
      <c r="H384" s="23">
        <f>(I384 *Tabelle1[[#This Row],[Umgebungsdruck]]/101325*273.15/(Tabelle1[[#This Row],[Umgebungstemperatur]]+273.15))/1.046</f>
        <v>13.799650041465062</v>
      </c>
      <c r="I384" s="23">
        <f>Tabelle1[[#This Row],[Gasgeschwindigkeit]]*60</f>
        <v>15.780000000000001</v>
      </c>
      <c r="J384" s="30">
        <v>0.26300000000000001</v>
      </c>
      <c r="K384" s="72">
        <f>Tabelle1[[#This Row],[Flüssigkeitsgeschwindigkeit]]*60</f>
        <v>3.36</v>
      </c>
      <c r="L384" s="15">
        <v>5.6000000000000001E-2</v>
      </c>
      <c r="M384" s="15">
        <v>22</v>
      </c>
      <c r="N384" s="15">
        <v>100150</v>
      </c>
      <c r="O384" s="15">
        <v>1</v>
      </c>
      <c r="P384" s="15">
        <v>1</v>
      </c>
      <c r="R384" t="s">
        <v>25</v>
      </c>
      <c r="S384" s="15" t="s">
        <v>26</v>
      </c>
      <c r="T384">
        <v>1</v>
      </c>
      <c r="U384">
        <v>0.6</v>
      </c>
      <c r="V384">
        <v>1</v>
      </c>
      <c r="W384">
        <v>0.2</v>
      </c>
      <c r="X384" s="15">
        <v>72</v>
      </c>
    </row>
    <row r="385" spans="2:24" x14ac:dyDescent="0.25">
      <c r="B385" s="24"/>
      <c r="C385" s="36" t="s">
        <v>454</v>
      </c>
      <c r="D385" s="15">
        <v>0</v>
      </c>
      <c r="E385" s="15" t="s">
        <v>461</v>
      </c>
      <c r="F385" s="21">
        <v>46114</v>
      </c>
      <c r="G385" s="22">
        <v>0.67847222222222203</v>
      </c>
      <c r="H385" s="23">
        <f>(I385 *Tabelle1[[#This Row],[Umgebungsdruck]]/101325*273.15/(Tabelle1[[#This Row],[Umgebungstemperatur]]+273.15))/1.046</f>
        <v>13.799650041465062</v>
      </c>
      <c r="I385" s="23">
        <f>Tabelle1[[#This Row],[Gasgeschwindigkeit]]*60</f>
        <v>15.780000000000001</v>
      </c>
      <c r="J385" s="30">
        <v>0.26300000000000001</v>
      </c>
      <c r="K385" s="72">
        <f>Tabelle1[[#This Row],[Flüssigkeitsgeschwindigkeit]]*60</f>
        <v>10.020000000000001</v>
      </c>
      <c r="L385" s="15">
        <v>0.16700000000000001</v>
      </c>
      <c r="M385" s="15">
        <v>22</v>
      </c>
      <c r="N385" s="15">
        <v>100150</v>
      </c>
      <c r="O385" s="15">
        <v>1</v>
      </c>
      <c r="P385" s="15">
        <v>1</v>
      </c>
      <c r="R385" t="s">
        <v>25</v>
      </c>
      <c r="S385" s="15" t="s">
        <v>26</v>
      </c>
      <c r="T385">
        <v>1</v>
      </c>
      <c r="U385">
        <v>0.6</v>
      </c>
      <c r="V385">
        <v>1</v>
      </c>
      <c r="W385">
        <v>0.2</v>
      </c>
      <c r="X385" s="15">
        <v>72</v>
      </c>
    </row>
    <row r="386" spans="2:24" x14ac:dyDescent="0.25">
      <c r="B386" s="24"/>
      <c r="C386" s="36" t="s">
        <v>454</v>
      </c>
      <c r="D386" s="15">
        <v>0</v>
      </c>
      <c r="E386" s="15" t="s">
        <v>462</v>
      </c>
      <c r="F386" s="21">
        <v>46114</v>
      </c>
      <c r="G386" s="22">
        <v>0.67916666666666703</v>
      </c>
      <c r="H386" s="23">
        <f>(I386 *Tabelle1[[#This Row],[Umgebungsdruck]]/101325*273.15/(Tabelle1[[#This Row],[Umgebungstemperatur]]+273.15))/1.046</f>
        <v>13.799650041465062</v>
      </c>
      <c r="I386" s="23">
        <f>Tabelle1[[#This Row],[Gasgeschwindigkeit]]*60</f>
        <v>15.780000000000001</v>
      </c>
      <c r="J386" s="30">
        <v>0.26300000000000001</v>
      </c>
      <c r="K386" s="72">
        <f>Tabelle1[[#This Row],[Flüssigkeitsgeschwindigkeit]]*60</f>
        <v>15</v>
      </c>
      <c r="L386" s="15">
        <v>0.25</v>
      </c>
      <c r="M386" s="15">
        <v>22</v>
      </c>
      <c r="N386" s="15">
        <v>100150</v>
      </c>
      <c r="O386" s="15">
        <v>1</v>
      </c>
      <c r="P386" s="15">
        <v>1</v>
      </c>
      <c r="R386" t="s">
        <v>25</v>
      </c>
      <c r="S386" s="15" t="s">
        <v>26</v>
      </c>
      <c r="T386">
        <v>1</v>
      </c>
      <c r="U386">
        <v>0.6</v>
      </c>
      <c r="V386">
        <v>1</v>
      </c>
      <c r="W386">
        <v>0.2</v>
      </c>
      <c r="X386" s="15">
        <v>72</v>
      </c>
    </row>
    <row r="387" spans="2:24" x14ac:dyDescent="0.25">
      <c r="B387" s="24"/>
      <c r="C387" s="36" t="s">
        <v>463</v>
      </c>
      <c r="D387" s="15">
        <v>415.5</v>
      </c>
      <c r="E387" s="15" t="s">
        <v>464</v>
      </c>
      <c r="F387" s="21">
        <v>46114</v>
      </c>
      <c r="G387" s="22">
        <v>0.69374999999999998</v>
      </c>
      <c r="H387" s="23">
        <f>(I387 *Tabelle1[[#This Row],[Umgebungsdruck]]/101325*273.15/(Tabelle1[[#This Row],[Umgebungstemperatur]]+273.15))/1.046</f>
        <v>3.6714436936069177</v>
      </c>
      <c r="I387" s="23">
        <f>Tabelle1[[#This Row],[Gasgeschwindigkeit]]*60</f>
        <v>4.2</v>
      </c>
      <c r="J387" s="30">
        <v>7.0000000000000007E-2</v>
      </c>
      <c r="K387" s="72">
        <f>Tabelle1[[#This Row],[Flüssigkeitsgeschwindigkeit]]*60</f>
        <v>6.66</v>
      </c>
      <c r="L387" s="15">
        <v>0.111</v>
      </c>
      <c r="M387" s="15">
        <v>22</v>
      </c>
      <c r="N387" s="15">
        <v>100110</v>
      </c>
      <c r="O387" s="15">
        <v>0.8</v>
      </c>
      <c r="P387" s="15">
        <v>3</v>
      </c>
      <c r="R387" t="s">
        <v>25</v>
      </c>
      <c r="S387" s="15" t="s">
        <v>26</v>
      </c>
      <c r="T387">
        <v>1</v>
      </c>
      <c r="U387">
        <v>0.6</v>
      </c>
      <c r="V387">
        <v>1</v>
      </c>
      <c r="W387">
        <v>0.2</v>
      </c>
      <c r="X387" s="15">
        <v>72</v>
      </c>
    </row>
    <row r="388" spans="2:24" x14ac:dyDescent="0.25">
      <c r="B388" s="24"/>
      <c r="C388" s="36" t="s">
        <v>463</v>
      </c>
      <c r="D388">
        <v>415.5</v>
      </c>
      <c r="E388" t="s">
        <v>465</v>
      </c>
      <c r="F388" s="21">
        <v>46114</v>
      </c>
      <c r="G388" s="22">
        <v>0.69583333333333297</v>
      </c>
      <c r="H388" s="23">
        <f>(I388 *Tabelle1[[#This Row],[Umgebungsdruck]]/101325*273.15/(Tabelle1[[#This Row],[Umgebungstemperatur]]+273.15))/1.046</f>
        <v>7.0281922134761006</v>
      </c>
      <c r="I388" s="23">
        <f>Tabelle1[[#This Row],[Gasgeschwindigkeit]]*60</f>
        <v>8.0400000000000009</v>
      </c>
      <c r="J388" s="30">
        <v>0.13400000000000001</v>
      </c>
      <c r="K388" s="72">
        <f>Tabelle1[[#This Row],[Flüssigkeitsgeschwindigkeit]]*60</f>
        <v>10.020000000000001</v>
      </c>
      <c r="L388">
        <v>0.16700000000000001</v>
      </c>
      <c r="M388">
        <v>22</v>
      </c>
      <c r="N388">
        <v>100110</v>
      </c>
      <c r="O388">
        <v>0.9</v>
      </c>
      <c r="P388">
        <v>3</v>
      </c>
      <c r="Q388"/>
      <c r="R388" t="s">
        <v>25</v>
      </c>
      <c r="S388" t="s">
        <v>26</v>
      </c>
      <c r="T388">
        <v>1</v>
      </c>
      <c r="U388">
        <v>0.6</v>
      </c>
      <c r="V388">
        <v>1</v>
      </c>
      <c r="W388">
        <v>0.2</v>
      </c>
      <c r="X388">
        <v>72</v>
      </c>
    </row>
    <row r="389" spans="2:24" x14ac:dyDescent="0.25">
      <c r="B389" s="24"/>
      <c r="C389" s="36" t="s">
        <v>463</v>
      </c>
      <c r="D389">
        <v>415.5</v>
      </c>
      <c r="E389" t="s">
        <v>466</v>
      </c>
      <c r="F389" s="21">
        <v>46114</v>
      </c>
      <c r="G389" s="22">
        <v>0.69930555555555596</v>
      </c>
      <c r="H389" s="23">
        <f>(I389 *Tabelle1[[#This Row],[Umgebungsdruck]]/101325*273.15/(Tabelle1[[#This Row],[Umgebungstemperatur]]+273.15))/1.046</f>
        <v>10.38494073334528</v>
      </c>
      <c r="I389" s="23">
        <f>Tabelle1[[#This Row],[Gasgeschwindigkeit]]*60</f>
        <v>11.88</v>
      </c>
      <c r="J389" s="30">
        <v>0.19800000000000001</v>
      </c>
      <c r="K389" s="72">
        <f>Tabelle1[[#This Row],[Flüssigkeitsgeschwindigkeit]]*60</f>
        <v>3.36</v>
      </c>
      <c r="L389">
        <v>5.6000000000000001E-2</v>
      </c>
      <c r="M389">
        <v>22</v>
      </c>
      <c r="N389">
        <v>100110</v>
      </c>
      <c r="O389">
        <v>0.9</v>
      </c>
      <c r="P389">
        <v>3</v>
      </c>
      <c r="Q389"/>
      <c r="R389" t="s">
        <v>25</v>
      </c>
      <c r="S389" t="s">
        <v>26</v>
      </c>
      <c r="T389">
        <v>1</v>
      </c>
      <c r="U389">
        <v>0.6</v>
      </c>
      <c r="V389">
        <v>1</v>
      </c>
      <c r="W389">
        <v>0.2</v>
      </c>
      <c r="X389">
        <v>72</v>
      </c>
    </row>
    <row r="390" spans="2:24" x14ac:dyDescent="0.25">
      <c r="B390" s="24"/>
      <c r="C390" s="36" t="s">
        <v>463</v>
      </c>
      <c r="D390">
        <v>415.5</v>
      </c>
      <c r="E390" t="s">
        <v>467</v>
      </c>
      <c r="F390" s="21">
        <v>46114</v>
      </c>
      <c r="G390" s="22">
        <v>0.70138888888888895</v>
      </c>
      <c r="H390" s="23">
        <f>(I390 *Tabelle1[[#This Row],[Umgebungsdruck]]/101325*273.15/(Tabelle1[[#This Row],[Umgebungstemperatur]]+273.15))/1.046</f>
        <v>10.38494073334528</v>
      </c>
      <c r="I390" s="23">
        <f>Tabelle1[[#This Row],[Gasgeschwindigkeit]]*60</f>
        <v>11.88</v>
      </c>
      <c r="J390" s="30">
        <v>0.19800000000000001</v>
      </c>
      <c r="K390" s="72">
        <f>Tabelle1[[#This Row],[Flüssigkeitsgeschwindigkeit]]*60</f>
        <v>10.020000000000001</v>
      </c>
      <c r="L390">
        <v>0.16700000000000001</v>
      </c>
      <c r="M390">
        <v>22</v>
      </c>
      <c r="N390">
        <v>100110</v>
      </c>
      <c r="O390">
        <v>0.9</v>
      </c>
      <c r="P390">
        <v>3</v>
      </c>
      <c r="Q390"/>
      <c r="R390" t="s">
        <v>25</v>
      </c>
      <c r="S390" t="s">
        <v>26</v>
      </c>
      <c r="T390">
        <v>1</v>
      </c>
      <c r="U390">
        <v>0.6</v>
      </c>
      <c r="V390">
        <v>1</v>
      </c>
      <c r="W390">
        <v>0.2</v>
      </c>
      <c r="X390">
        <v>72</v>
      </c>
    </row>
    <row r="391" spans="2:24" x14ac:dyDescent="0.25">
      <c r="B391" s="24"/>
      <c r="C391" s="36" t="s">
        <v>463</v>
      </c>
      <c r="D391">
        <v>415.5</v>
      </c>
      <c r="E391" t="s">
        <v>468</v>
      </c>
      <c r="F391" s="21">
        <v>46114</v>
      </c>
      <c r="G391" s="22">
        <v>0.70208333333333295</v>
      </c>
      <c r="H391" s="23">
        <f>(I391 *Tabelle1[[#This Row],[Umgebungsdruck]]/101325*273.15/(Tabelle1[[#This Row],[Umgebungstemperatur]]+273.15))/1.046</f>
        <v>10.38494073334528</v>
      </c>
      <c r="I391" s="23">
        <f>Tabelle1[[#This Row],[Gasgeschwindigkeit]]*60</f>
        <v>11.88</v>
      </c>
      <c r="J391" s="30">
        <v>0.19800000000000001</v>
      </c>
      <c r="K391" s="72">
        <f>Tabelle1[[#This Row],[Flüssigkeitsgeschwindigkeit]]*60</f>
        <v>15</v>
      </c>
      <c r="L391">
        <v>0.25</v>
      </c>
      <c r="M391">
        <v>22</v>
      </c>
      <c r="N391">
        <v>100110</v>
      </c>
      <c r="O391">
        <v>0.9</v>
      </c>
      <c r="P391">
        <v>3</v>
      </c>
      <c r="Q391"/>
      <c r="R391" t="s">
        <v>25</v>
      </c>
      <c r="S391" t="s">
        <v>26</v>
      </c>
      <c r="T391">
        <v>1</v>
      </c>
      <c r="U391">
        <v>0.6</v>
      </c>
      <c r="V391">
        <v>1</v>
      </c>
      <c r="W391">
        <v>0.2</v>
      </c>
      <c r="X391">
        <v>72</v>
      </c>
    </row>
    <row r="392" spans="2:24" x14ac:dyDescent="0.25">
      <c r="B392" s="24"/>
      <c r="C392" s="36" t="s">
        <v>463</v>
      </c>
      <c r="D392">
        <v>415.5</v>
      </c>
      <c r="E392" t="s">
        <v>469</v>
      </c>
      <c r="F392" s="21">
        <v>46114</v>
      </c>
      <c r="G392" s="22">
        <v>0.70416666666666705</v>
      </c>
      <c r="H392" s="23">
        <f>(I392 *Tabelle1[[#This Row],[Umgebungsdruck]]/101325*273.15/(Tabelle1[[#This Row],[Umgebungstemperatur]]+273.15))/1.046</f>
        <v>13.794138448837421</v>
      </c>
      <c r="I392" s="23">
        <f>Tabelle1[[#This Row],[Gasgeschwindigkeit]]*60</f>
        <v>15.780000000000001</v>
      </c>
      <c r="J392" s="30">
        <v>0.26300000000000001</v>
      </c>
      <c r="K392" s="72">
        <f>Tabelle1[[#This Row],[Flüssigkeitsgeschwindigkeit]]*60</f>
        <v>3.36</v>
      </c>
      <c r="L392">
        <v>5.6000000000000001E-2</v>
      </c>
      <c r="M392">
        <v>22</v>
      </c>
      <c r="N392">
        <v>100110</v>
      </c>
      <c r="O392">
        <v>1</v>
      </c>
      <c r="P392">
        <v>3</v>
      </c>
      <c r="Q392"/>
      <c r="R392" t="s">
        <v>25</v>
      </c>
      <c r="S392" t="s">
        <v>26</v>
      </c>
      <c r="T392">
        <v>1</v>
      </c>
      <c r="U392">
        <v>0.6</v>
      </c>
      <c r="V392">
        <v>1</v>
      </c>
      <c r="W392">
        <v>0.2</v>
      </c>
      <c r="X392">
        <v>72</v>
      </c>
    </row>
    <row r="393" spans="2:24" x14ac:dyDescent="0.25">
      <c r="B393" s="24"/>
      <c r="C393" s="36" t="s">
        <v>463</v>
      </c>
      <c r="D393">
        <v>415.5</v>
      </c>
      <c r="E393" t="s">
        <v>470</v>
      </c>
      <c r="F393" s="21">
        <v>46114</v>
      </c>
      <c r="G393" s="22">
        <v>0.70625000000000004</v>
      </c>
      <c r="H393" s="23">
        <f>(I393 *Tabelle1[[#This Row],[Umgebungsdruck]]/101325*273.15/(Tabelle1[[#This Row],[Umgebungstemperatur]]+273.15))/1.046</f>
        <v>13.794138448837421</v>
      </c>
      <c r="I393" s="23">
        <f>Tabelle1[[#This Row],[Gasgeschwindigkeit]]*60</f>
        <v>15.780000000000001</v>
      </c>
      <c r="J393" s="30">
        <v>0.26300000000000001</v>
      </c>
      <c r="K393" s="72">
        <f>Tabelle1[[#This Row],[Flüssigkeitsgeschwindigkeit]]*60</f>
        <v>10.020000000000001</v>
      </c>
      <c r="L393">
        <v>0.16700000000000001</v>
      </c>
      <c r="M393">
        <v>22</v>
      </c>
      <c r="N393">
        <v>100110</v>
      </c>
      <c r="O393">
        <v>1</v>
      </c>
      <c r="P393">
        <v>3</v>
      </c>
      <c r="Q393"/>
      <c r="R393" t="s">
        <v>25</v>
      </c>
      <c r="S393" t="s">
        <v>26</v>
      </c>
      <c r="T393">
        <v>1</v>
      </c>
      <c r="U393">
        <v>0.6</v>
      </c>
      <c r="V393">
        <v>1</v>
      </c>
      <c r="W393">
        <v>0.2</v>
      </c>
      <c r="X393">
        <v>72</v>
      </c>
    </row>
    <row r="394" spans="2:24" ht="15.75" thickBot="1" x14ac:dyDescent="0.3">
      <c r="B394" s="24"/>
      <c r="C394" s="36" t="s">
        <v>463</v>
      </c>
      <c r="D394">
        <v>415.5</v>
      </c>
      <c r="E394" t="s">
        <v>471</v>
      </c>
      <c r="F394" s="21">
        <v>46114</v>
      </c>
      <c r="G394" s="22">
        <v>0.70763888888888904</v>
      </c>
      <c r="H394" s="23">
        <f>(I394 *Tabelle1[[#This Row],[Umgebungsdruck]]/101325*273.15/(Tabelle1[[#This Row],[Umgebungstemperatur]]+273.15))/1.046</f>
        <v>13.794138448837421</v>
      </c>
      <c r="I394" s="23">
        <f>Tabelle1[[#This Row],[Gasgeschwindigkeit]]*60</f>
        <v>15.780000000000001</v>
      </c>
      <c r="J394" s="30">
        <v>0.26300000000000001</v>
      </c>
      <c r="K394" s="72">
        <f>Tabelle1[[#This Row],[Flüssigkeitsgeschwindigkeit]]*60</f>
        <v>15</v>
      </c>
      <c r="L394">
        <v>0.25</v>
      </c>
      <c r="M394">
        <v>22</v>
      </c>
      <c r="N394">
        <v>100110</v>
      </c>
      <c r="O394">
        <v>1</v>
      </c>
      <c r="P394">
        <v>3</v>
      </c>
      <c r="Q394"/>
      <c r="R394" t="s">
        <v>25</v>
      </c>
      <c r="S394" t="s">
        <v>26</v>
      </c>
      <c r="T394">
        <v>1</v>
      </c>
      <c r="U394">
        <v>0.6</v>
      </c>
      <c r="V394">
        <v>1</v>
      </c>
      <c r="W394">
        <v>0.2</v>
      </c>
      <c r="X394">
        <v>72</v>
      </c>
    </row>
    <row r="395" spans="2:24" ht="15.75" thickBot="1" x14ac:dyDescent="0.3">
      <c r="B395" s="26" t="s">
        <v>43</v>
      </c>
      <c r="C395" s="36" t="s">
        <v>472</v>
      </c>
      <c r="D395" s="47">
        <v>0</v>
      </c>
      <c r="E395" s="51" t="s">
        <v>473</v>
      </c>
      <c r="F395" s="21">
        <v>46120</v>
      </c>
      <c r="G395" s="52">
        <v>0.484722222222222</v>
      </c>
      <c r="H395" s="23">
        <f>(I395 *Tabelle1[[#This Row],[Umgebungsdruck]]/101325*273.15/(Tabelle1[[#This Row],[Umgebungstemperatur]]+273.15))/1.046</f>
        <v>2.9257595059265089</v>
      </c>
      <c r="I395" s="53">
        <f>Tabelle1[[#This Row],[Gasgeschwindigkeit]]*PI()*(Tabelle1[[#This Row],[Kanalmaße]]/1000)^2/4*1000000*60</f>
        <v>3.2986722862692828</v>
      </c>
      <c r="J395" s="54">
        <v>7.0000000000000007E-2</v>
      </c>
      <c r="K395" s="44">
        <f>Tabelle1[[#This Row],[Flüssigkeitsgeschwindigkeit]]*PI()*(Tabelle1[[#This Row],[Kanalmaße]]/1000)^2/4*1000000*60</f>
        <v>2.638937829015426</v>
      </c>
      <c r="L395" s="51">
        <v>5.6000000000000001E-2</v>
      </c>
      <c r="M395" s="51">
        <v>22.1</v>
      </c>
      <c r="N395" s="51">
        <v>101610</v>
      </c>
      <c r="O395" s="51">
        <v>0.6</v>
      </c>
      <c r="P395" s="51">
        <v>1</v>
      </c>
      <c r="Q395" s="51"/>
      <c r="R395" s="51" t="s">
        <v>474</v>
      </c>
      <c r="S395" s="51" t="s">
        <v>205</v>
      </c>
      <c r="T395">
        <v>1</v>
      </c>
      <c r="U395">
        <v>0.6</v>
      </c>
      <c r="V395" s="55">
        <v>1</v>
      </c>
      <c r="W395">
        <v>0.2</v>
      </c>
      <c r="X395">
        <v>72</v>
      </c>
    </row>
    <row r="396" spans="2:24" ht="15.75" thickBot="1" x14ac:dyDescent="0.3">
      <c r="B396" s="24" t="s">
        <v>28</v>
      </c>
      <c r="C396" s="36" t="s">
        <v>472</v>
      </c>
      <c r="D396" s="47">
        <v>0</v>
      </c>
      <c r="E396" t="s">
        <v>475</v>
      </c>
      <c r="F396" s="21">
        <v>46120</v>
      </c>
      <c r="G396" s="22">
        <v>0.46736111111111101</v>
      </c>
      <c r="H396" s="23">
        <f>(I396 *Tabelle1[[#This Row],[Umgebungsdruck]]/101325*273.15/(Tabelle1[[#This Row],[Umgebungstemperatur]]+273.15))/1.046</f>
        <v>2.9257595059265089</v>
      </c>
      <c r="I396" s="23">
        <f>Tabelle1[[#This Row],[Gasgeschwindigkeit]]*PI()*(Tabelle1[[#This Row],[Kanalmaße]]/1000)^2/4*1000000*60</f>
        <v>3.2986722862692828</v>
      </c>
      <c r="J396" s="30">
        <v>7.0000000000000007E-2</v>
      </c>
      <c r="K396" s="44">
        <f>Tabelle1[[#This Row],[Flüssigkeitsgeschwindigkeit]]*PI()*(Tabelle1[[#This Row],[Kanalmaße]]/1000)^2/4*1000000*60</f>
        <v>5.2307517682270053</v>
      </c>
      <c r="L396">
        <v>0.111</v>
      </c>
      <c r="M396" s="51">
        <v>22.1</v>
      </c>
      <c r="N396" s="51">
        <v>101610</v>
      </c>
      <c r="O396">
        <v>0.6</v>
      </c>
      <c r="P396">
        <v>1</v>
      </c>
      <c r="Q396"/>
      <c r="R396" s="51" t="s">
        <v>474</v>
      </c>
      <c r="S396" t="s">
        <v>205</v>
      </c>
      <c r="T396">
        <v>1</v>
      </c>
      <c r="U396">
        <v>0.6</v>
      </c>
      <c r="V396" s="57">
        <v>1</v>
      </c>
      <c r="W396">
        <v>0.2</v>
      </c>
      <c r="X396">
        <v>72</v>
      </c>
    </row>
    <row r="397" spans="2:24" ht="15.75" thickBot="1" x14ac:dyDescent="0.3">
      <c r="B397" s="24" t="s">
        <v>28</v>
      </c>
      <c r="C397" s="36" t="s">
        <v>472</v>
      </c>
      <c r="D397" s="47">
        <v>0</v>
      </c>
      <c r="E397" t="s">
        <v>476</v>
      </c>
      <c r="F397" s="21">
        <v>46120</v>
      </c>
      <c r="G397" s="22">
        <v>0.48611111111111099</v>
      </c>
      <c r="H397" s="23">
        <f>(I397 *Tabelle1[[#This Row],[Umgebungsdruck]]/101325*273.15/(Tabelle1[[#This Row],[Umgebungstemperatur]]+273.15))/1.046</f>
        <v>5.6007396256307445</v>
      </c>
      <c r="I397" s="23">
        <f>Tabelle1[[#This Row],[Gasgeschwindigkeit]]*PI()*(Tabelle1[[#This Row],[Kanalmaße]]/1000)^2/4*1000000*60</f>
        <v>6.314601233715484</v>
      </c>
      <c r="J397" s="30">
        <v>0.13400000000000001</v>
      </c>
      <c r="K397" s="44">
        <f>Tabelle1[[#This Row],[Flüssigkeitsgeschwindigkeit]]*PI()*(Tabelle1[[#This Row],[Kanalmaße]]/1000)^2/4*1000000*60</f>
        <v>2.638937829015426</v>
      </c>
      <c r="L397">
        <v>5.6000000000000001E-2</v>
      </c>
      <c r="M397" s="51">
        <v>22.1</v>
      </c>
      <c r="N397" s="51">
        <v>101610</v>
      </c>
      <c r="O397">
        <v>0.6</v>
      </c>
      <c r="P397">
        <v>1</v>
      </c>
      <c r="Q397"/>
      <c r="R397" s="51" t="s">
        <v>474</v>
      </c>
      <c r="S397" t="s">
        <v>205</v>
      </c>
      <c r="T397">
        <v>1</v>
      </c>
      <c r="U397">
        <v>0.6</v>
      </c>
      <c r="V397" s="57">
        <v>1</v>
      </c>
      <c r="W397">
        <v>0.2</v>
      </c>
      <c r="X397">
        <v>72</v>
      </c>
    </row>
    <row r="398" spans="2:24" ht="15.75" thickBot="1" x14ac:dyDescent="0.3">
      <c r="B398" s="24" t="s">
        <v>28</v>
      </c>
      <c r="C398" s="36" t="s">
        <v>472</v>
      </c>
      <c r="D398" s="47">
        <v>0</v>
      </c>
      <c r="E398" t="s">
        <v>477</v>
      </c>
      <c r="F398" s="21">
        <v>46120</v>
      </c>
      <c r="G398" s="22">
        <v>0.48888888888888898</v>
      </c>
      <c r="H398" s="23">
        <f>(I398 *Tabelle1[[#This Row],[Umgebungsdruck]]/101325*273.15/(Tabelle1[[#This Row],[Umgebungstemperatur]]+273.15))/1.046</f>
        <v>5.6007396256307445</v>
      </c>
      <c r="I398" s="23">
        <f>Tabelle1[[#This Row],[Gasgeschwindigkeit]]*PI()*(Tabelle1[[#This Row],[Kanalmaße]]/1000)^2/4*1000000*60</f>
        <v>6.314601233715484</v>
      </c>
      <c r="J398" s="30">
        <v>0.13400000000000001</v>
      </c>
      <c r="K398" s="44">
        <f>Tabelle1[[#This Row],[Flüssigkeitsgeschwindigkeit]]*PI()*(Tabelle1[[#This Row],[Kanalmaße]]/1000)^2/4*1000000*60</f>
        <v>5.2307517682270053</v>
      </c>
      <c r="L398">
        <v>0.111</v>
      </c>
      <c r="M398" s="51">
        <v>22.1</v>
      </c>
      <c r="N398" s="51">
        <v>101610</v>
      </c>
      <c r="O398">
        <v>0.6</v>
      </c>
      <c r="P398">
        <v>1</v>
      </c>
      <c r="Q398"/>
      <c r="R398" s="51" t="s">
        <v>474</v>
      </c>
      <c r="S398" t="s">
        <v>205</v>
      </c>
      <c r="T398">
        <v>1</v>
      </c>
      <c r="U398">
        <v>0.6</v>
      </c>
      <c r="V398" s="57">
        <v>1</v>
      </c>
      <c r="W398">
        <v>0.2</v>
      </c>
      <c r="X398">
        <v>72</v>
      </c>
    </row>
    <row r="399" spans="2:24" ht="15.75" thickBot="1" x14ac:dyDescent="0.3">
      <c r="B399" s="24" t="s">
        <v>28</v>
      </c>
      <c r="C399" s="36" t="s">
        <v>472</v>
      </c>
      <c r="D399" s="47">
        <v>0</v>
      </c>
      <c r="E399" t="s">
        <v>478</v>
      </c>
      <c r="F399" s="21">
        <v>46120</v>
      </c>
      <c r="G399" s="22">
        <v>0.49027777777777798</v>
      </c>
      <c r="H399" s="23">
        <f>(I399 *Tabelle1[[#This Row],[Umgebungsdruck]]/101325*273.15/(Tabelle1[[#This Row],[Umgebungstemperatur]]+273.15))/1.046</f>
        <v>5.6007396256307445</v>
      </c>
      <c r="I399" s="23">
        <f>Tabelle1[[#This Row],[Gasgeschwindigkeit]]*PI()*(Tabelle1[[#This Row],[Kanalmaße]]/1000)^2/4*1000000*60</f>
        <v>6.314601233715484</v>
      </c>
      <c r="J399" s="30">
        <v>0.13400000000000001</v>
      </c>
      <c r="K399" s="44">
        <f>Tabelle1[[#This Row],[Flüssigkeitsgeschwindigkeit]]*PI()*(Tabelle1[[#This Row],[Kanalmaße]]/1000)^2/4*1000000*60</f>
        <v>7.8696895972424317</v>
      </c>
      <c r="L399">
        <v>0.16700000000000001</v>
      </c>
      <c r="M399" s="51">
        <v>22.1</v>
      </c>
      <c r="N399" s="51">
        <v>101610</v>
      </c>
      <c r="O399">
        <v>0.6</v>
      </c>
      <c r="P399">
        <v>1</v>
      </c>
      <c r="Q399"/>
      <c r="R399" s="51" t="s">
        <v>474</v>
      </c>
      <c r="S399" t="s">
        <v>205</v>
      </c>
      <c r="T399">
        <v>1</v>
      </c>
      <c r="U399">
        <v>0.6</v>
      </c>
      <c r="V399" s="57">
        <v>1</v>
      </c>
      <c r="W399">
        <v>0.2</v>
      </c>
      <c r="X399">
        <v>72</v>
      </c>
    </row>
    <row r="400" spans="2:24" ht="15.75" thickBot="1" x14ac:dyDescent="0.3">
      <c r="B400" s="24" t="s">
        <v>28</v>
      </c>
      <c r="C400" s="36" t="s">
        <v>472</v>
      </c>
      <c r="D400" s="47">
        <v>0</v>
      </c>
      <c r="E400" t="s">
        <v>479</v>
      </c>
      <c r="F400" s="21">
        <v>46120</v>
      </c>
      <c r="G400" s="22">
        <v>0.49166666666666697</v>
      </c>
      <c r="H400" s="23">
        <f>(I400 *Tabelle1[[#This Row],[Umgebungsdruck]]/101325*273.15/(Tabelle1[[#This Row],[Umgebungstemperatur]]+273.15))/1.046</f>
        <v>5.6007396256307445</v>
      </c>
      <c r="I400" s="23">
        <f>Tabelle1[[#This Row],[Gasgeschwindigkeit]]*PI()*(Tabelle1[[#This Row],[Kanalmaße]]/1000)^2/4*1000000*60</f>
        <v>6.314601233715484</v>
      </c>
      <c r="J400" s="30">
        <v>0.13400000000000001</v>
      </c>
      <c r="K400" s="44">
        <f>Tabelle1[[#This Row],[Flüssigkeitsgeschwindigkeit]]*PI()*(Tabelle1[[#This Row],[Kanalmaße]]/1000)^2/4*1000000*60</f>
        <v>11.780972450961723</v>
      </c>
      <c r="L400">
        <v>0.25</v>
      </c>
      <c r="M400" s="51">
        <v>22.1</v>
      </c>
      <c r="N400" s="51">
        <v>101610</v>
      </c>
      <c r="O400">
        <v>0.6</v>
      </c>
      <c r="P400">
        <v>1</v>
      </c>
      <c r="Q400"/>
      <c r="R400" s="51" t="s">
        <v>474</v>
      </c>
      <c r="S400" t="s">
        <v>205</v>
      </c>
      <c r="T400">
        <v>1</v>
      </c>
      <c r="U400">
        <v>0.6</v>
      </c>
      <c r="V400" s="57">
        <v>1</v>
      </c>
      <c r="W400">
        <v>0.2</v>
      </c>
      <c r="X400">
        <v>72</v>
      </c>
    </row>
    <row r="401" spans="2:30" ht="15.75" thickBot="1" x14ac:dyDescent="0.3">
      <c r="B401" s="24" t="s">
        <v>28</v>
      </c>
      <c r="C401" s="36" t="s">
        <v>472</v>
      </c>
      <c r="D401" s="47">
        <v>0</v>
      </c>
      <c r="E401" t="s">
        <v>480</v>
      </c>
      <c r="F401" s="21">
        <v>46120</v>
      </c>
      <c r="G401" s="22">
        <v>0.49444444444444402</v>
      </c>
      <c r="H401" s="23">
        <f>(I401 *Tabelle1[[#This Row],[Umgebungsdruck]]/101325*273.15/(Tabelle1[[#This Row],[Umgebungstemperatur]]+273.15))/1.046</f>
        <v>8.2894209753646759</v>
      </c>
      <c r="I401" s="23">
        <f>Tabelle1[[#This Row],[Gasgeschwindigkeit]]*PI()*(Tabelle1[[#This Row],[Kanalmaße]]/1000)^2/4*1000000*60</f>
        <v>9.3459777487745423</v>
      </c>
      <c r="J401" s="30">
        <v>0.19832780756591101</v>
      </c>
      <c r="K401" s="44">
        <f>Tabelle1[[#This Row],[Flüssigkeitsgeschwindigkeit]]*PI()*(Tabelle1[[#This Row],[Kanalmaße]]/1000)^2/4*1000000*60</f>
        <v>2.638937829015426</v>
      </c>
      <c r="L401">
        <v>5.6000000000000001E-2</v>
      </c>
      <c r="M401" s="51">
        <v>22.1</v>
      </c>
      <c r="N401" s="51">
        <v>101610</v>
      </c>
      <c r="O401">
        <v>0.6</v>
      </c>
      <c r="P401">
        <v>1</v>
      </c>
      <c r="Q401"/>
      <c r="R401" s="51" t="s">
        <v>474</v>
      </c>
      <c r="S401" t="s">
        <v>205</v>
      </c>
      <c r="T401">
        <v>1</v>
      </c>
      <c r="U401">
        <v>0.6</v>
      </c>
      <c r="V401" s="57">
        <v>1</v>
      </c>
      <c r="W401">
        <v>0.2</v>
      </c>
      <c r="X401">
        <v>72</v>
      </c>
      <c r="AD401"/>
    </row>
    <row r="402" spans="2:30" ht="15.75" thickBot="1" x14ac:dyDescent="0.3">
      <c r="B402" s="24" t="s">
        <v>28</v>
      </c>
      <c r="C402" s="36" t="s">
        <v>472</v>
      </c>
      <c r="D402" s="47">
        <v>0</v>
      </c>
      <c r="E402" t="s">
        <v>481</v>
      </c>
      <c r="F402" s="21">
        <v>46120</v>
      </c>
      <c r="G402" s="22">
        <v>0.49513888888888902</v>
      </c>
      <c r="H402" s="23">
        <f>(I402 *Tabelle1[[#This Row],[Umgebungsdruck]]/101325*273.15/(Tabelle1[[#This Row],[Umgebungstemperatur]]+273.15))/1.046</f>
        <v>8.2894209753646759</v>
      </c>
      <c r="I402" s="23">
        <f>Tabelle1[[#This Row],[Gasgeschwindigkeit]]*PI()*(Tabelle1[[#This Row],[Kanalmaße]]/1000)^2/4*1000000*60</f>
        <v>9.3459777487745423</v>
      </c>
      <c r="J402" s="30">
        <v>0.19832780756591101</v>
      </c>
      <c r="K402" s="44">
        <f>Tabelle1[[#This Row],[Flüssigkeitsgeschwindigkeit]]*PI()*(Tabelle1[[#This Row],[Kanalmaße]]/1000)^2/4*1000000*60</f>
        <v>5.2307517682270053</v>
      </c>
      <c r="L402">
        <v>0.111</v>
      </c>
      <c r="M402" s="51">
        <v>22.1</v>
      </c>
      <c r="N402" s="51">
        <v>101610</v>
      </c>
      <c r="O402">
        <v>0.6</v>
      </c>
      <c r="P402">
        <v>1</v>
      </c>
      <c r="Q402"/>
      <c r="R402" s="51" t="s">
        <v>474</v>
      </c>
      <c r="S402" t="s">
        <v>205</v>
      </c>
      <c r="T402">
        <v>1</v>
      </c>
      <c r="U402">
        <v>0.6</v>
      </c>
      <c r="V402" s="57">
        <v>1</v>
      </c>
      <c r="W402">
        <v>0.2</v>
      </c>
      <c r="X402">
        <v>72</v>
      </c>
      <c r="AD402"/>
    </row>
    <row r="403" spans="2:30" ht="15.75" thickBot="1" x14ac:dyDescent="0.3">
      <c r="B403" s="24" t="s">
        <v>28</v>
      </c>
      <c r="C403" s="36" t="s">
        <v>472</v>
      </c>
      <c r="D403" s="47">
        <v>0</v>
      </c>
      <c r="E403" t="s">
        <v>482</v>
      </c>
      <c r="F403" s="21">
        <v>46120</v>
      </c>
      <c r="G403" s="22">
        <v>0.49583333333333302</v>
      </c>
      <c r="H403" s="23">
        <f>(I403 *Tabelle1[[#This Row],[Umgebungsdruck]]/101325*273.15/(Tabelle1[[#This Row],[Umgebungstemperatur]]+273.15))/1.046</f>
        <v>8.2894209753646759</v>
      </c>
      <c r="I403" s="23">
        <f>Tabelle1[[#This Row],[Gasgeschwindigkeit]]*PI()*(Tabelle1[[#This Row],[Kanalmaße]]/1000)^2/4*1000000*60</f>
        <v>9.3459777487745423</v>
      </c>
      <c r="J403" s="30">
        <v>0.19832780756591101</v>
      </c>
      <c r="K403" s="44">
        <f>Tabelle1[[#This Row],[Flüssigkeitsgeschwindigkeit]]*PI()*(Tabelle1[[#This Row],[Kanalmaße]]/1000)^2/4*1000000*60</f>
        <v>7.8696895972424317</v>
      </c>
      <c r="L403">
        <v>0.16700000000000001</v>
      </c>
      <c r="M403" s="51">
        <v>22.1</v>
      </c>
      <c r="N403" s="51">
        <v>101610</v>
      </c>
      <c r="O403">
        <v>0.6</v>
      </c>
      <c r="P403">
        <v>1</v>
      </c>
      <c r="Q403"/>
      <c r="R403" s="51" t="s">
        <v>474</v>
      </c>
      <c r="S403" t="s">
        <v>205</v>
      </c>
      <c r="T403">
        <v>1</v>
      </c>
      <c r="U403">
        <v>0.6</v>
      </c>
      <c r="V403" s="57">
        <v>1</v>
      </c>
      <c r="W403">
        <v>0.2</v>
      </c>
      <c r="X403">
        <v>72</v>
      </c>
      <c r="AD403"/>
    </row>
    <row r="404" spans="2:30" ht="15.75" thickBot="1" x14ac:dyDescent="0.3">
      <c r="B404" s="24" t="s">
        <v>28</v>
      </c>
      <c r="C404" s="36" t="s">
        <v>472</v>
      </c>
      <c r="D404" s="47">
        <v>0</v>
      </c>
      <c r="E404" t="s">
        <v>483</v>
      </c>
      <c r="F404" s="21">
        <v>46120</v>
      </c>
      <c r="G404" s="22">
        <v>0.49722222222222201</v>
      </c>
      <c r="H404" s="23">
        <f>(I404 *Tabelle1[[#This Row],[Umgebungsdruck]]/101325*273.15/(Tabelle1[[#This Row],[Umgebungstemperatur]]+273.15))/1.046</f>
        <v>8.2894209753646759</v>
      </c>
      <c r="I404" s="23">
        <f>Tabelle1[[#This Row],[Gasgeschwindigkeit]]*PI()*(Tabelle1[[#This Row],[Kanalmaße]]/1000)^2/4*1000000*60</f>
        <v>9.3459777487745423</v>
      </c>
      <c r="J404" s="30">
        <v>0.19832780756591101</v>
      </c>
      <c r="K404" s="44">
        <f>Tabelle1[[#This Row],[Flüssigkeitsgeschwindigkeit]]*PI()*(Tabelle1[[#This Row],[Kanalmaße]]/1000)^2/4*1000000*60</f>
        <v>11.780972450961723</v>
      </c>
      <c r="L404">
        <v>0.25</v>
      </c>
      <c r="M404" s="51">
        <v>22.1</v>
      </c>
      <c r="N404" s="51">
        <v>101610</v>
      </c>
      <c r="O404">
        <v>0.6</v>
      </c>
      <c r="P404">
        <v>1</v>
      </c>
      <c r="Q404"/>
      <c r="R404" s="51" t="s">
        <v>474</v>
      </c>
      <c r="S404" t="s">
        <v>205</v>
      </c>
      <c r="T404">
        <v>1</v>
      </c>
      <c r="U404">
        <v>0.6</v>
      </c>
      <c r="V404" s="57">
        <v>1</v>
      </c>
      <c r="W404">
        <v>0.2</v>
      </c>
      <c r="X404">
        <v>72</v>
      </c>
      <c r="AD404"/>
    </row>
    <row r="405" spans="2:30" ht="15.75" thickBot="1" x14ac:dyDescent="0.3">
      <c r="B405" s="24" t="s">
        <v>28</v>
      </c>
      <c r="C405" s="36" t="s">
        <v>472</v>
      </c>
      <c r="D405" s="47">
        <v>0</v>
      </c>
      <c r="E405" t="s">
        <v>484</v>
      </c>
      <c r="F405" s="21">
        <v>46120</v>
      </c>
      <c r="G405" s="22">
        <v>0.49861111111111101</v>
      </c>
      <c r="H405" s="23">
        <f>(I405 *Tabelle1[[#This Row],[Umgebungsdruck]]/101325*273.15/(Tabelle1[[#This Row],[Umgebungstemperatur]]+273.15))/1.046</f>
        <v>11.000324355810317</v>
      </c>
      <c r="I405" s="23">
        <f>Tabelle1[[#This Row],[Gasgeschwindigkeit]]*PI()*(Tabelle1[[#This Row],[Kanalmaße]]/1000)^2/4*1000000*60</f>
        <v>12.402408680201335</v>
      </c>
      <c r="J405" s="30">
        <v>0.26318728635998301</v>
      </c>
      <c r="K405" s="44">
        <f>Tabelle1[[#This Row],[Flüssigkeitsgeschwindigkeit]]*PI()*(Tabelle1[[#This Row],[Kanalmaße]]/1000)^2/4*1000000*60</f>
        <v>2.638937829015426</v>
      </c>
      <c r="L405">
        <v>5.6000000000000001E-2</v>
      </c>
      <c r="M405" s="51">
        <v>22.1</v>
      </c>
      <c r="N405" s="51">
        <v>101610</v>
      </c>
      <c r="O405">
        <v>0.6</v>
      </c>
      <c r="P405">
        <v>1</v>
      </c>
      <c r="Q405"/>
      <c r="R405" s="51" t="s">
        <v>474</v>
      </c>
      <c r="S405" t="s">
        <v>205</v>
      </c>
      <c r="T405">
        <v>1</v>
      </c>
      <c r="U405">
        <v>0.6</v>
      </c>
      <c r="V405" s="57">
        <v>1</v>
      </c>
      <c r="W405">
        <v>0.2</v>
      </c>
      <c r="X405">
        <v>72</v>
      </c>
      <c r="AD405"/>
    </row>
    <row r="406" spans="2:30" ht="15.75" thickBot="1" x14ac:dyDescent="0.3">
      <c r="B406" s="24" t="s">
        <v>28</v>
      </c>
      <c r="C406" s="36" t="s">
        <v>472</v>
      </c>
      <c r="D406" s="47">
        <v>0</v>
      </c>
      <c r="E406" t="s">
        <v>485</v>
      </c>
      <c r="F406" s="21">
        <v>46120</v>
      </c>
      <c r="G406" s="22">
        <v>0.499305555555556</v>
      </c>
      <c r="H406" s="23">
        <f>(I406 *Tabelle1[[#This Row],[Umgebungsdruck]]/101325*273.15/(Tabelle1[[#This Row],[Umgebungstemperatur]]+273.15))/1.046</f>
        <v>11.000324355810317</v>
      </c>
      <c r="I406" s="23">
        <f>Tabelle1[[#This Row],[Gasgeschwindigkeit]]*PI()*(Tabelle1[[#This Row],[Kanalmaße]]/1000)^2/4*1000000*60</f>
        <v>12.402408680201335</v>
      </c>
      <c r="J406" s="30">
        <v>0.26318728635998301</v>
      </c>
      <c r="K406" s="44">
        <f>Tabelle1[[#This Row],[Flüssigkeitsgeschwindigkeit]]*PI()*(Tabelle1[[#This Row],[Kanalmaße]]/1000)^2/4*1000000*60</f>
        <v>5.2307517682270053</v>
      </c>
      <c r="L406">
        <v>0.111</v>
      </c>
      <c r="M406" s="51">
        <v>22.1</v>
      </c>
      <c r="N406" s="51">
        <v>101610</v>
      </c>
      <c r="O406">
        <v>0.6</v>
      </c>
      <c r="P406">
        <v>1</v>
      </c>
      <c r="Q406"/>
      <c r="R406" s="51" t="s">
        <v>474</v>
      </c>
      <c r="S406" t="s">
        <v>205</v>
      </c>
      <c r="T406">
        <v>1</v>
      </c>
      <c r="U406">
        <v>0.6</v>
      </c>
      <c r="V406" s="57">
        <v>1</v>
      </c>
      <c r="W406">
        <v>0.2</v>
      </c>
      <c r="X406">
        <v>72</v>
      </c>
      <c r="AD406"/>
    </row>
    <row r="407" spans="2:30" ht="15.75" thickBot="1" x14ac:dyDescent="0.3">
      <c r="B407" s="24" t="s">
        <v>28</v>
      </c>
      <c r="C407" s="36" t="s">
        <v>472</v>
      </c>
      <c r="D407" s="47">
        <v>0</v>
      </c>
      <c r="E407" t="s">
        <v>486</v>
      </c>
      <c r="F407" s="21">
        <v>46120</v>
      </c>
      <c r="G407" s="22">
        <v>0.500694444444444</v>
      </c>
      <c r="H407" s="23">
        <f>(I407 *Tabelle1[[#This Row],[Umgebungsdruck]]/101325*273.15/(Tabelle1[[#This Row],[Umgebungstemperatur]]+273.15))/1.046</f>
        <v>11.000324355810317</v>
      </c>
      <c r="I407" s="23">
        <f>Tabelle1[[#This Row],[Gasgeschwindigkeit]]*PI()*(Tabelle1[[#This Row],[Kanalmaße]]/1000)^2/4*1000000*60</f>
        <v>12.402408680201335</v>
      </c>
      <c r="J407" s="30">
        <v>0.26318728635998301</v>
      </c>
      <c r="K407" s="44">
        <f>Tabelle1[[#This Row],[Flüssigkeitsgeschwindigkeit]]*PI()*(Tabelle1[[#This Row],[Kanalmaße]]/1000)^2/4*1000000*60</f>
        <v>7.8696895972424317</v>
      </c>
      <c r="L407">
        <v>0.16700000000000001</v>
      </c>
      <c r="M407" s="51">
        <v>22.1</v>
      </c>
      <c r="N407" s="51">
        <v>101610</v>
      </c>
      <c r="O407">
        <v>0.6</v>
      </c>
      <c r="P407">
        <v>1</v>
      </c>
      <c r="Q407"/>
      <c r="R407" s="51" t="s">
        <v>474</v>
      </c>
      <c r="S407" t="s">
        <v>205</v>
      </c>
      <c r="T407">
        <v>1</v>
      </c>
      <c r="U407">
        <v>0.6</v>
      </c>
      <c r="V407" s="57">
        <v>1</v>
      </c>
      <c r="W407">
        <v>0.2</v>
      </c>
      <c r="X407">
        <v>72</v>
      </c>
      <c r="AD407"/>
    </row>
    <row r="408" spans="2:30" ht="15.75" thickBot="1" x14ac:dyDescent="0.3">
      <c r="B408" s="24" t="s">
        <v>28</v>
      </c>
      <c r="C408" s="36" t="s">
        <v>472</v>
      </c>
      <c r="D408" s="47">
        <v>0</v>
      </c>
      <c r="E408" s="42" t="s">
        <v>487</v>
      </c>
      <c r="F408" s="21">
        <v>46120</v>
      </c>
      <c r="G408" s="43">
        <v>0.50138888888888899</v>
      </c>
      <c r="H408" s="23">
        <f>(I408 *Tabelle1[[#This Row],[Umgebungsdruck]]/101325*273.15/(Tabelle1[[#This Row],[Umgebungstemperatur]]+273.15))/1.046</f>
        <v>11.000324355810317</v>
      </c>
      <c r="I408" s="44">
        <f>Tabelle1[[#This Row],[Gasgeschwindigkeit]]*PI()*(Tabelle1[[#This Row],[Kanalmaße]]/1000)^2/4*1000000*60</f>
        <v>12.402408680201335</v>
      </c>
      <c r="J408" s="45">
        <v>0.26318728635998301</v>
      </c>
      <c r="K408" s="44">
        <f>Tabelle1[[#This Row],[Flüssigkeitsgeschwindigkeit]]*PI()*(Tabelle1[[#This Row],[Kanalmaße]]/1000)^2/4*1000000*60</f>
        <v>11.780972450961723</v>
      </c>
      <c r="L408" s="42">
        <v>0.25</v>
      </c>
      <c r="M408" s="51">
        <v>22.1</v>
      </c>
      <c r="N408" s="51">
        <v>101610</v>
      </c>
      <c r="O408">
        <v>0.6</v>
      </c>
      <c r="P408" s="42">
        <v>1</v>
      </c>
      <c r="Q408" s="42"/>
      <c r="R408" s="51" t="s">
        <v>474</v>
      </c>
      <c r="S408" s="42" t="s">
        <v>205</v>
      </c>
      <c r="T408">
        <v>1</v>
      </c>
      <c r="U408">
        <v>0.6</v>
      </c>
      <c r="V408" s="59">
        <v>1</v>
      </c>
      <c r="W408">
        <v>0.2</v>
      </c>
      <c r="X408">
        <v>72</v>
      </c>
      <c r="AD408"/>
    </row>
    <row r="409" spans="2:30" ht="15.75" thickBot="1" x14ac:dyDescent="0.3">
      <c r="B409" s="26" t="s">
        <v>43</v>
      </c>
      <c r="C409" s="36" t="s">
        <v>488</v>
      </c>
      <c r="D409">
        <v>164</v>
      </c>
      <c r="E409" s="36" t="s">
        <v>489</v>
      </c>
      <c r="F409" s="21">
        <v>46120</v>
      </c>
      <c r="G409" s="37">
        <v>0.57847222222222205</v>
      </c>
      <c r="H409" s="23">
        <f>(I409 *Tabelle1[[#This Row],[Umgebungsdruck]]/101325*273.15/(Tabelle1[[#This Row],[Umgebungstemperatur]]+273.15))/1.046</f>
        <v>2.9172002875790466</v>
      </c>
      <c r="I409" s="23">
        <f>Tabelle1[[#This Row],[Gasgeschwindigkeit]]*PI()*(Tabelle1[[#This Row],[Kanalmaße]]/1000)^2/4*1000000*60</f>
        <v>3.2986722862692828</v>
      </c>
      <c r="J409" s="39">
        <v>7.0000000000000007E-2</v>
      </c>
      <c r="K409" s="44">
        <f>Tabelle1[[#This Row],[Flüssigkeitsgeschwindigkeit]]*PI()*(Tabelle1[[#This Row],[Kanalmaße]]/1000)^2/4*1000000*60</f>
        <v>2.638937829015426</v>
      </c>
      <c r="L409" s="36">
        <v>5.6000000000000001E-2</v>
      </c>
      <c r="M409" s="36">
        <v>22.5</v>
      </c>
      <c r="N409" s="36">
        <v>101450</v>
      </c>
      <c r="O409" s="36">
        <v>0.6</v>
      </c>
      <c r="P409" s="36">
        <v>2</v>
      </c>
      <c r="Q409" s="36"/>
      <c r="R409" s="51" t="s">
        <v>474</v>
      </c>
      <c r="S409" s="36" t="s">
        <v>205</v>
      </c>
      <c r="T409">
        <v>1</v>
      </c>
      <c r="U409">
        <v>0.6</v>
      </c>
      <c r="V409" s="62">
        <v>1</v>
      </c>
      <c r="W409">
        <v>0.2</v>
      </c>
      <c r="X409">
        <v>72</v>
      </c>
      <c r="AD409"/>
    </row>
    <row r="410" spans="2:30" x14ac:dyDescent="0.25">
      <c r="B410" s="24" t="s">
        <v>28</v>
      </c>
      <c r="C410" s="36" t="s">
        <v>488</v>
      </c>
      <c r="D410">
        <v>164</v>
      </c>
      <c r="E410" t="s">
        <v>490</v>
      </c>
      <c r="F410" s="21">
        <v>46120</v>
      </c>
      <c r="G410" s="22">
        <v>0.58263888888888904</v>
      </c>
      <c r="H410" s="23">
        <f>(I410 *Tabelle1[[#This Row],[Umgebungsdruck]]/101325*273.15/(Tabelle1[[#This Row],[Umgebungstemperatur]]+273.15))/1.046</f>
        <v>2.9172002875790466</v>
      </c>
      <c r="I410" s="23">
        <f>Tabelle1[[#This Row],[Gasgeschwindigkeit]]*PI()*(Tabelle1[[#This Row],[Kanalmaße]]/1000)^2/4*1000000*60</f>
        <v>3.2986722862692828</v>
      </c>
      <c r="J410" s="30">
        <v>7.0000000000000007E-2</v>
      </c>
      <c r="K410" s="44">
        <f>Tabelle1[[#This Row],[Flüssigkeitsgeschwindigkeit]]*PI()*(Tabelle1[[#This Row],[Kanalmaße]]/1000)^2/4*1000000*60</f>
        <v>5.2307517682270053</v>
      </c>
      <c r="L410">
        <v>0.111</v>
      </c>
      <c r="M410" s="36">
        <v>22.5</v>
      </c>
      <c r="N410" s="36">
        <v>101450</v>
      </c>
      <c r="O410">
        <v>0.6</v>
      </c>
      <c r="P410">
        <v>2</v>
      </c>
      <c r="Q410"/>
      <c r="R410" s="51" t="s">
        <v>474</v>
      </c>
      <c r="S410" t="s">
        <v>205</v>
      </c>
      <c r="T410">
        <v>1</v>
      </c>
      <c r="U410">
        <v>0.6</v>
      </c>
      <c r="V410" s="57">
        <v>1</v>
      </c>
      <c r="W410">
        <v>0.2</v>
      </c>
      <c r="X410">
        <v>72</v>
      </c>
      <c r="AD410"/>
    </row>
    <row r="411" spans="2:30" x14ac:dyDescent="0.25">
      <c r="B411" s="24" t="s">
        <v>28</v>
      </c>
      <c r="C411" s="36" t="s">
        <v>488</v>
      </c>
      <c r="D411">
        <v>164</v>
      </c>
      <c r="E411" t="s">
        <v>491</v>
      </c>
      <c r="F411" s="21">
        <v>46120</v>
      </c>
      <c r="G411" s="22">
        <v>0.62916666666666698</v>
      </c>
      <c r="H411" s="23">
        <f>(I411 *Tabelle1[[#This Row],[Umgebungsdruck]]/101325*273.15/(Tabelle1[[#This Row],[Umgebungstemperatur]]+273.15))/1.046</f>
        <v>5.5843548362227455</v>
      </c>
      <c r="I411" s="23">
        <f>Tabelle1[[#This Row],[Gasgeschwindigkeit]]*PI()*(Tabelle1[[#This Row],[Kanalmaße]]/1000)^2/4*1000000*60</f>
        <v>6.314601233715484</v>
      </c>
      <c r="J411" s="30">
        <v>0.13400000000000001</v>
      </c>
      <c r="K411" s="44">
        <f>Tabelle1[[#This Row],[Flüssigkeitsgeschwindigkeit]]*PI()*(Tabelle1[[#This Row],[Kanalmaße]]/1000)^2/4*1000000*60</f>
        <v>2.638937829015426</v>
      </c>
      <c r="L411">
        <v>5.6000000000000001E-2</v>
      </c>
      <c r="M411" s="36">
        <v>22.5</v>
      </c>
      <c r="N411" s="36">
        <v>101450</v>
      </c>
      <c r="O411">
        <v>0.6</v>
      </c>
      <c r="P411">
        <v>2</v>
      </c>
      <c r="Q411"/>
      <c r="R411" s="51" t="s">
        <v>474</v>
      </c>
      <c r="S411" t="s">
        <v>205</v>
      </c>
      <c r="T411">
        <v>1</v>
      </c>
      <c r="U411">
        <v>0.6</v>
      </c>
      <c r="V411" s="57">
        <v>1</v>
      </c>
      <c r="W411">
        <v>0.2</v>
      </c>
      <c r="X411">
        <v>72</v>
      </c>
      <c r="AD411"/>
    </row>
    <row r="412" spans="2:30" x14ac:dyDescent="0.25">
      <c r="B412" s="24" t="s">
        <v>28</v>
      </c>
      <c r="C412" s="36" t="s">
        <v>488</v>
      </c>
      <c r="D412">
        <v>164</v>
      </c>
      <c r="E412" t="s">
        <v>492</v>
      </c>
      <c r="F412" s="21">
        <v>46120</v>
      </c>
      <c r="G412" s="22">
        <v>0.62986111111111098</v>
      </c>
      <c r="H412" s="23">
        <f>(I412 *Tabelle1[[#This Row],[Umgebungsdruck]]/101325*273.15/(Tabelle1[[#This Row],[Umgebungstemperatur]]+273.15))/1.046</f>
        <v>5.5843548362227455</v>
      </c>
      <c r="I412" s="23">
        <f>Tabelle1[[#This Row],[Gasgeschwindigkeit]]*PI()*(Tabelle1[[#This Row],[Kanalmaße]]/1000)^2/4*1000000*60</f>
        <v>6.314601233715484</v>
      </c>
      <c r="J412" s="30">
        <v>0.13400000000000001</v>
      </c>
      <c r="K412" s="44">
        <f>Tabelle1[[#This Row],[Flüssigkeitsgeschwindigkeit]]*PI()*(Tabelle1[[#This Row],[Kanalmaße]]/1000)^2/4*1000000*60</f>
        <v>5.2307517682270053</v>
      </c>
      <c r="L412">
        <v>0.111</v>
      </c>
      <c r="M412" s="36">
        <v>22.5</v>
      </c>
      <c r="N412" s="36">
        <v>101450</v>
      </c>
      <c r="O412">
        <v>0.6</v>
      </c>
      <c r="P412">
        <v>2</v>
      </c>
      <c r="Q412"/>
      <c r="R412" s="51" t="s">
        <v>474</v>
      </c>
      <c r="S412" t="s">
        <v>205</v>
      </c>
      <c r="T412">
        <v>1</v>
      </c>
      <c r="U412">
        <v>0.6</v>
      </c>
      <c r="V412" s="57">
        <v>1</v>
      </c>
      <c r="W412">
        <v>0.2</v>
      </c>
      <c r="X412">
        <v>72</v>
      </c>
      <c r="AD412"/>
    </row>
    <row r="413" spans="2:30" x14ac:dyDescent="0.25">
      <c r="B413" s="24" t="s">
        <v>28</v>
      </c>
      <c r="C413" s="36" t="s">
        <v>488</v>
      </c>
      <c r="D413">
        <v>164</v>
      </c>
      <c r="E413" t="s">
        <v>493</v>
      </c>
      <c r="F413" s="21">
        <v>46120</v>
      </c>
      <c r="G413" s="22">
        <v>0.63124999999999998</v>
      </c>
      <c r="H413" s="23">
        <f>(I413 *Tabelle1[[#This Row],[Umgebungsdruck]]/101325*273.15/(Tabelle1[[#This Row],[Umgebungstemperatur]]+273.15))/1.046</f>
        <v>5.5843548362227455</v>
      </c>
      <c r="I413" s="23">
        <f>Tabelle1[[#This Row],[Gasgeschwindigkeit]]*PI()*(Tabelle1[[#This Row],[Kanalmaße]]/1000)^2/4*1000000*60</f>
        <v>6.314601233715484</v>
      </c>
      <c r="J413" s="30">
        <v>0.13400000000000001</v>
      </c>
      <c r="K413" s="44">
        <f>Tabelle1[[#This Row],[Flüssigkeitsgeschwindigkeit]]*PI()*(Tabelle1[[#This Row],[Kanalmaße]]/1000)^2/4*1000000*60</f>
        <v>7.8696895972424317</v>
      </c>
      <c r="L413">
        <v>0.16700000000000001</v>
      </c>
      <c r="M413" s="36">
        <v>22.5</v>
      </c>
      <c r="N413" s="36">
        <v>101450</v>
      </c>
      <c r="O413">
        <v>0.6</v>
      </c>
      <c r="P413">
        <v>2</v>
      </c>
      <c r="Q413"/>
      <c r="R413" s="51" t="s">
        <v>474</v>
      </c>
      <c r="S413" t="s">
        <v>205</v>
      </c>
      <c r="T413">
        <v>1</v>
      </c>
      <c r="U413">
        <v>0.6</v>
      </c>
      <c r="V413" s="57">
        <v>1</v>
      </c>
      <c r="W413">
        <v>0.2</v>
      </c>
      <c r="X413">
        <v>72</v>
      </c>
      <c r="AD413"/>
    </row>
    <row r="414" spans="2:30" x14ac:dyDescent="0.25">
      <c r="B414" s="24" t="s">
        <v>28</v>
      </c>
      <c r="C414" s="36" t="s">
        <v>488</v>
      </c>
      <c r="D414">
        <v>164</v>
      </c>
      <c r="E414" t="s">
        <v>494</v>
      </c>
      <c r="F414" s="21">
        <v>46120</v>
      </c>
      <c r="G414" s="22">
        <v>0.63194444444444398</v>
      </c>
      <c r="H414" s="23">
        <f>(I414 *Tabelle1[[#This Row],[Umgebungsdruck]]/101325*273.15/(Tabelle1[[#This Row],[Umgebungstemperatur]]+273.15))/1.046</f>
        <v>5.5843548362227455</v>
      </c>
      <c r="I414" s="23">
        <f>Tabelle1[[#This Row],[Gasgeschwindigkeit]]*PI()*(Tabelle1[[#This Row],[Kanalmaße]]/1000)^2/4*1000000*60</f>
        <v>6.314601233715484</v>
      </c>
      <c r="J414" s="30">
        <v>0.13400000000000001</v>
      </c>
      <c r="K414" s="44">
        <f>Tabelle1[[#This Row],[Flüssigkeitsgeschwindigkeit]]*PI()*(Tabelle1[[#This Row],[Kanalmaße]]/1000)^2/4*1000000*60</f>
        <v>11.780972450961723</v>
      </c>
      <c r="L414">
        <v>0.25</v>
      </c>
      <c r="M414" s="36">
        <v>22.5</v>
      </c>
      <c r="N414" s="36">
        <v>101450</v>
      </c>
      <c r="O414">
        <v>0.6</v>
      </c>
      <c r="P414">
        <v>2</v>
      </c>
      <c r="Q414"/>
      <c r="R414" s="51" t="s">
        <v>474</v>
      </c>
      <c r="S414" t="s">
        <v>205</v>
      </c>
      <c r="T414">
        <v>1</v>
      </c>
      <c r="U414">
        <v>0.6</v>
      </c>
      <c r="V414" s="57">
        <v>1</v>
      </c>
      <c r="W414">
        <v>0.2</v>
      </c>
      <c r="X414">
        <v>72</v>
      </c>
      <c r="AD414"/>
    </row>
    <row r="415" spans="2:30" x14ac:dyDescent="0.25">
      <c r="B415" s="24" t="s">
        <v>28</v>
      </c>
      <c r="C415" s="36" t="s">
        <v>488</v>
      </c>
      <c r="D415">
        <v>164</v>
      </c>
      <c r="E415" t="s">
        <v>495</v>
      </c>
      <c r="F415" s="21">
        <v>46120</v>
      </c>
      <c r="G415" s="22">
        <v>0.63472222222222197</v>
      </c>
      <c r="H415" s="23">
        <f>(I415 *Tabelle1[[#This Row],[Umgebungsdruck]]/101325*273.15/(Tabelle1[[#This Row],[Umgebungstemperatur]]+273.15))/1.046</f>
        <v>8.2651705323742473</v>
      </c>
      <c r="I415" s="23">
        <f>Tabelle1[[#This Row],[Gasgeschwindigkeit]]*PI()*(Tabelle1[[#This Row],[Kanalmaße]]/1000)^2/4*1000000*60</f>
        <v>9.3459777487745423</v>
      </c>
      <c r="J415" s="30">
        <v>0.19832780756591101</v>
      </c>
      <c r="K415" s="44">
        <f>Tabelle1[[#This Row],[Flüssigkeitsgeschwindigkeit]]*PI()*(Tabelle1[[#This Row],[Kanalmaße]]/1000)^2/4*1000000*60</f>
        <v>2.638937829015426</v>
      </c>
      <c r="L415">
        <v>5.6000000000000001E-2</v>
      </c>
      <c r="M415" s="36">
        <v>22.5</v>
      </c>
      <c r="N415" s="36">
        <v>101450</v>
      </c>
      <c r="O415">
        <v>0.6</v>
      </c>
      <c r="P415">
        <v>2</v>
      </c>
      <c r="Q415"/>
      <c r="R415" s="51" t="s">
        <v>474</v>
      </c>
      <c r="S415" t="s">
        <v>205</v>
      </c>
      <c r="T415">
        <v>1</v>
      </c>
      <c r="U415">
        <v>0.6</v>
      </c>
      <c r="V415" s="57">
        <v>1</v>
      </c>
      <c r="W415">
        <v>0.2</v>
      </c>
      <c r="X415">
        <v>72</v>
      </c>
      <c r="AD415"/>
    </row>
    <row r="416" spans="2:30" x14ac:dyDescent="0.25">
      <c r="B416" s="24" t="s">
        <v>28</v>
      </c>
      <c r="C416" s="36" t="s">
        <v>488</v>
      </c>
      <c r="D416">
        <v>164</v>
      </c>
      <c r="E416" t="s">
        <v>496</v>
      </c>
      <c r="F416" s="21">
        <v>46120</v>
      </c>
      <c r="G416" s="22">
        <v>0.63611111111111096</v>
      </c>
      <c r="H416" s="23">
        <f>(I416 *Tabelle1[[#This Row],[Umgebungsdruck]]/101325*273.15/(Tabelle1[[#This Row],[Umgebungstemperatur]]+273.15))/1.046</f>
        <v>8.2651705323742473</v>
      </c>
      <c r="I416" s="23">
        <f>Tabelle1[[#This Row],[Gasgeschwindigkeit]]*PI()*(Tabelle1[[#This Row],[Kanalmaße]]/1000)^2/4*1000000*60</f>
        <v>9.3459777487745423</v>
      </c>
      <c r="J416" s="30">
        <v>0.19832780756591101</v>
      </c>
      <c r="K416" s="44">
        <f>Tabelle1[[#This Row],[Flüssigkeitsgeschwindigkeit]]*PI()*(Tabelle1[[#This Row],[Kanalmaße]]/1000)^2/4*1000000*60</f>
        <v>5.2307517682270053</v>
      </c>
      <c r="L416">
        <v>0.111</v>
      </c>
      <c r="M416" s="36">
        <v>22.5</v>
      </c>
      <c r="N416" s="36">
        <v>101450</v>
      </c>
      <c r="O416">
        <v>0.6</v>
      </c>
      <c r="P416">
        <v>2</v>
      </c>
      <c r="Q416"/>
      <c r="R416" s="51" t="s">
        <v>474</v>
      </c>
      <c r="S416" t="s">
        <v>205</v>
      </c>
      <c r="T416">
        <v>1</v>
      </c>
      <c r="U416">
        <v>0.6</v>
      </c>
      <c r="V416" s="57">
        <v>1</v>
      </c>
      <c r="W416">
        <v>0.2</v>
      </c>
      <c r="X416">
        <v>72</v>
      </c>
      <c r="AD416"/>
    </row>
    <row r="417" spans="2:30" x14ac:dyDescent="0.25">
      <c r="B417" s="24" t="s">
        <v>28</v>
      </c>
      <c r="C417" s="36" t="s">
        <v>488</v>
      </c>
      <c r="D417">
        <v>164</v>
      </c>
      <c r="E417" t="s">
        <v>497</v>
      </c>
      <c r="F417" s="21">
        <v>46120</v>
      </c>
      <c r="G417" s="22">
        <v>0.63680555555555596</v>
      </c>
      <c r="H417" s="23">
        <f>(I417 *Tabelle1[[#This Row],[Umgebungsdruck]]/101325*273.15/(Tabelle1[[#This Row],[Umgebungstemperatur]]+273.15))/1.046</f>
        <v>8.2651705323742473</v>
      </c>
      <c r="I417" s="23">
        <f>Tabelle1[[#This Row],[Gasgeschwindigkeit]]*PI()*(Tabelle1[[#This Row],[Kanalmaße]]/1000)^2/4*1000000*60</f>
        <v>9.3459777487745423</v>
      </c>
      <c r="J417" s="30">
        <v>0.19832780756591101</v>
      </c>
      <c r="K417" s="44">
        <f>Tabelle1[[#This Row],[Flüssigkeitsgeschwindigkeit]]*PI()*(Tabelle1[[#This Row],[Kanalmaße]]/1000)^2/4*1000000*60</f>
        <v>7.8696895972424317</v>
      </c>
      <c r="L417">
        <v>0.16700000000000001</v>
      </c>
      <c r="M417" s="36">
        <v>22.5</v>
      </c>
      <c r="N417" s="36">
        <v>101450</v>
      </c>
      <c r="O417">
        <v>0.6</v>
      </c>
      <c r="P417">
        <v>2</v>
      </c>
      <c r="Q417"/>
      <c r="R417" s="51" t="s">
        <v>474</v>
      </c>
      <c r="S417" t="s">
        <v>205</v>
      </c>
      <c r="T417">
        <v>1</v>
      </c>
      <c r="U417">
        <v>0.6</v>
      </c>
      <c r="V417" s="57">
        <v>1</v>
      </c>
      <c r="W417">
        <v>0.2</v>
      </c>
      <c r="X417">
        <v>72</v>
      </c>
      <c r="AD417"/>
    </row>
    <row r="418" spans="2:30" x14ac:dyDescent="0.25">
      <c r="B418" s="24" t="s">
        <v>28</v>
      </c>
      <c r="C418" s="36" t="s">
        <v>488</v>
      </c>
      <c r="D418">
        <v>164</v>
      </c>
      <c r="E418" t="s">
        <v>498</v>
      </c>
      <c r="F418" s="21">
        <v>46120</v>
      </c>
      <c r="G418" s="22">
        <v>0.63749999999999996</v>
      </c>
      <c r="H418" s="23">
        <f>(I418 *Tabelle1[[#This Row],[Umgebungsdruck]]/101325*273.15/(Tabelle1[[#This Row],[Umgebungstemperatur]]+273.15))/1.046</f>
        <v>8.2651705323742473</v>
      </c>
      <c r="I418" s="23">
        <f>Tabelle1[[#This Row],[Gasgeschwindigkeit]]*PI()*(Tabelle1[[#This Row],[Kanalmaße]]/1000)^2/4*1000000*60</f>
        <v>9.3459777487745423</v>
      </c>
      <c r="J418" s="30">
        <v>0.19832780756591101</v>
      </c>
      <c r="K418" s="44">
        <f>Tabelle1[[#This Row],[Flüssigkeitsgeschwindigkeit]]*PI()*(Tabelle1[[#This Row],[Kanalmaße]]/1000)^2/4*1000000*60</f>
        <v>11.780972450961723</v>
      </c>
      <c r="L418">
        <v>0.25</v>
      </c>
      <c r="M418" s="36">
        <v>22.5</v>
      </c>
      <c r="N418" s="36">
        <v>101450</v>
      </c>
      <c r="O418">
        <v>0.6</v>
      </c>
      <c r="P418">
        <v>2</v>
      </c>
      <c r="Q418"/>
      <c r="R418" s="51" t="s">
        <v>474</v>
      </c>
      <c r="S418" t="s">
        <v>205</v>
      </c>
      <c r="T418">
        <v>1</v>
      </c>
      <c r="U418">
        <v>0.6</v>
      </c>
      <c r="V418" s="57">
        <v>1</v>
      </c>
      <c r="W418">
        <v>0.2</v>
      </c>
      <c r="X418">
        <v>72</v>
      </c>
      <c r="AD418"/>
    </row>
    <row r="419" spans="2:30" x14ac:dyDescent="0.25">
      <c r="B419" s="24" t="s">
        <v>28</v>
      </c>
      <c r="C419" s="36" t="s">
        <v>488</v>
      </c>
      <c r="D419">
        <v>164</v>
      </c>
      <c r="E419" t="s">
        <v>499</v>
      </c>
      <c r="F419" s="21">
        <v>46120</v>
      </c>
      <c r="G419" s="22">
        <v>0.64236111111111105</v>
      </c>
      <c r="H419" s="23">
        <f>(I419 *Tabelle1[[#This Row],[Umgebungsdruck]]/101325*273.15/(Tabelle1[[#This Row],[Umgebungstemperatur]]+273.15))/1.046</f>
        <v>10.968143249378446</v>
      </c>
      <c r="I419" s="23">
        <f>Tabelle1[[#This Row],[Gasgeschwindigkeit]]*PI()*(Tabelle1[[#This Row],[Kanalmaße]]/1000)^2/4*1000000*60</f>
        <v>12.402408680201335</v>
      </c>
      <c r="J419" s="30">
        <v>0.26318728635998301</v>
      </c>
      <c r="K419" s="44">
        <f>Tabelle1[[#This Row],[Flüssigkeitsgeschwindigkeit]]*PI()*(Tabelle1[[#This Row],[Kanalmaße]]/1000)^2/4*1000000*60</f>
        <v>2.638937829015426</v>
      </c>
      <c r="L419">
        <v>5.6000000000000001E-2</v>
      </c>
      <c r="M419" s="36">
        <v>22.5</v>
      </c>
      <c r="N419" s="36">
        <v>101450</v>
      </c>
      <c r="O419">
        <v>0.6</v>
      </c>
      <c r="P419">
        <v>2</v>
      </c>
      <c r="Q419"/>
      <c r="R419" s="51" t="s">
        <v>474</v>
      </c>
      <c r="S419" t="s">
        <v>205</v>
      </c>
      <c r="T419">
        <v>1</v>
      </c>
      <c r="U419">
        <v>0.6</v>
      </c>
      <c r="V419" s="57">
        <v>1</v>
      </c>
      <c r="W419">
        <v>0.2</v>
      </c>
      <c r="X419">
        <v>72</v>
      </c>
      <c r="AD419"/>
    </row>
    <row r="420" spans="2:30" x14ac:dyDescent="0.25">
      <c r="B420" s="24" t="s">
        <v>28</v>
      </c>
      <c r="C420" s="36" t="s">
        <v>488</v>
      </c>
      <c r="D420">
        <v>164</v>
      </c>
      <c r="E420" t="s">
        <v>500</v>
      </c>
      <c r="F420" s="21">
        <v>46120</v>
      </c>
      <c r="G420" s="22">
        <v>0.64375000000000004</v>
      </c>
      <c r="H420" s="23">
        <f>(I420 *Tabelle1[[#This Row],[Umgebungsdruck]]/101325*273.15/(Tabelle1[[#This Row],[Umgebungstemperatur]]+273.15))/1.046</f>
        <v>10.968143249378446</v>
      </c>
      <c r="I420" s="23">
        <f>Tabelle1[[#This Row],[Gasgeschwindigkeit]]*PI()*(Tabelle1[[#This Row],[Kanalmaße]]/1000)^2/4*1000000*60</f>
        <v>12.402408680201335</v>
      </c>
      <c r="J420" s="30">
        <v>0.26318728635998301</v>
      </c>
      <c r="K420" s="44">
        <f>Tabelle1[[#This Row],[Flüssigkeitsgeschwindigkeit]]*PI()*(Tabelle1[[#This Row],[Kanalmaße]]/1000)^2/4*1000000*60</f>
        <v>5.2307517682270053</v>
      </c>
      <c r="L420">
        <v>0.111</v>
      </c>
      <c r="M420" s="36">
        <v>22.5</v>
      </c>
      <c r="N420" s="36">
        <v>101450</v>
      </c>
      <c r="O420">
        <v>0.6</v>
      </c>
      <c r="P420">
        <v>2</v>
      </c>
      <c r="Q420"/>
      <c r="R420" s="51" t="s">
        <v>474</v>
      </c>
      <c r="S420" t="s">
        <v>205</v>
      </c>
      <c r="T420">
        <v>1</v>
      </c>
      <c r="U420">
        <v>0.6</v>
      </c>
      <c r="V420" s="57">
        <v>1</v>
      </c>
      <c r="W420">
        <v>0.2</v>
      </c>
      <c r="X420">
        <v>72</v>
      </c>
      <c r="AD420"/>
    </row>
    <row r="421" spans="2:30" x14ac:dyDescent="0.25">
      <c r="B421" s="24" t="s">
        <v>28</v>
      </c>
      <c r="C421" s="36" t="s">
        <v>488</v>
      </c>
      <c r="D421">
        <v>164</v>
      </c>
      <c r="E421" t="s">
        <v>501</v>
      </c>
      <c r="F421" s="21">
        <v>46120</v>
      </c>
      <c r="G421" s="22">
        <v>0.64444444444444504</v>
      </c>
      <c r="H421" s="23">
        <f>(I421 *Tabelle1[[#This Row],[Umgebungsdruck]]/101325*273.15/(Tabelle1[[#This Row],[Umgebungstemperatur]]+273.15))/1.046</f>
        <v>10.968143249378446</v>
      </c>
      <c r="I421" s="23">
        <f>Tabelle1[[#This Row],[Gasgeschwindigkeit]]*PI()*(Tabelle1[[#This Row],[Kanalmaße]]/1000)^2/4*1000000*60</f>
        <v>12.402408680201335</v>
      </c>
      <c r="J421" s="30">
        <v>0.26318728635998301</v>
      </c>
      <c r="K421" s="44">
        <f>Tabelle1[[#This Row],[Flüssigkeitsgeschwindigkeit]]*PI()*(Tabelle1[[#This Row],[Kanalmaße]]/1000)^2/4*1000000*60</f>
        <v>7.8696895972424317</v>
      </c>
      <c r="L421">
        <v>0.16700000000000001</v>
      </c>
      <c r="M421" s="36">
        <v>22.5</v>
      </c>
      <c r="N421" s="36">
        <v>101450</v>
      </c>
      <c r="O421">
        <v>0.6</v>
      </c>
      <c r="P421">
        <v>2</v>
      </c>
      <c r="Q421"/>
      <c r="R421" s="51" t="s">
        <v>474</v>
      </c>
      <c r="S421" t="s">
        <v>205</v>
      </c>
      <c r="T421">
        <v>1</v>
      </c>
      <c r="U421">
        <v>0.6</v>
      </c>
      <c r="V421" s="57">
        <v>1</v>
      </c>
      <c r="W421">
        <v>0.2</v>
      </c>
      <c r="X421">
        <v>72</v>
      </c>
      <c r="AD421"/>
    </row>
    <row r="422" spans="2:30" x14ac:dyDescent="0.25">
      <c r="B422" s="24" t="s">
        <v>28</v>
      </c>
      <c r="C422" s="36" t="s">
        <v>488</v>
      </c>
      <c r="D422">
        <v>164</v>
      </c>
      <c r="E422" s="42" t="s">
        <v>502</v>
      </c>
      <c r="F422" s="21">
        <v>46120</v>
      </c>
      <c r="G422" s="43">
        <v>0.64513888888888904</v>
      </c>
      <c r="H422" s="23">
        <f>(I422 *Tabelle1[[#This Row],[Umgebungsdruck]]/101325*273.15/(Tabelle1[[#This Row],[Umgebungstemperatur]]+273.15))/1.046</f>
        <v>10.968143249378446</v>
      </c>
      <c r="I422" s="44">
        <f>Tabelle1[[#This Row],[Gasgeschwindigkeit]]*PI()*(Tabelle1[[#This Row],[Kanalmaße]]/1000)^2/4*1000000*60</f>
        <v>12.402408680201335</v>
      </c>
      <c r="J422" s="45">
        <v>0.26318728635998301</v>
      </c>
      <c r="K422" s="44">
        <f>Tabelle1[[#This Row],[Flüssigkeitsgeschwindigkeit]]*PI()*(Tabelle1[[#This Row],[Kanalmaße]]/1000)^2/4*1000000*60</f>
        <v>11.780972450961723</v>
      </c>
      <c r="L422" s="42">
        <v>0.25</v>
      </c>
      <c r="M422" s="36">
        <v>22.5</v>
      </c>
      <c r="N422" s="36">
        <v>101450</v>
      </c>
      <c r="O422">
        <v>0.6</v>
      </c>
      <c r="P422" s="42">
        <v>2</v>
      </c>
      <c r="Q422" s="42"/>
      <c r="R422" s="51" t="s">
        <v>474</v>
      </c>
      <c r="S422" s="42" t="s">
        <v>205</v>
      </c>
      <c r="T422">
        <v>1</v>
      </c>
      <c r="U422">
        <v>0.6</v>
      </c>
      <c r="V422" s="59">
        <v>1</v>
      </c>
      <c r="W422">
        <v>0.2</v>
      </c>
      <c r="X422">
        <v>72</v>
      </c>
      <c r="AD422"/>
    </row>
    <row r="423" spans="2:30" x14ac:dyDescent="0.25">
      <c r="B423" s="26" t="s">
        <v>43</v>
      </c>
      <c r="C423" s="36" t="s">
        <v>503</v>
      </c>
      <c r="D423">
        <v>452.5</v>
      </c>
      <c r="E423" t="s">
        <v>504</v>
      </c>
      <c r="F423" s="21">
        <v>46120</v>
      </c>
      <c r="G423" s="22">
        <v>0.65625</v>
      </c>
      <c r="H423" s="23">
        <f>(I423 *Tabelle1[[#This Row],[Umgebungsdruck]]/101325*273.15/(Tabelle1[[#This Row],[Umgebungstemperatur]]+273.15))/1.046</f>
        <v>2.9136268339910001</v>
      </c>
      <c r="I423" s="23">
        <f>Tabelle1[[#This Row],[Gasgeschwindigkeit]]*PI()*(Tabelle1[[#This Row],[Kanalmaße]]/1000)^2/4*1000000*60</f>
        <v>3.2986722862692828</v>
      </c>
      <c r="J423" s="30">
        <v>7.0000000000000007E-2</v>
      </c>
      <c r="K423" s="44">
        <f>Tabelle1[[#This Row],[Flüssigkeitsgeschwindigkeit]]*PI()*(Tabelle1[[#This Row],[Kanalmaße]]/1000)^2/4*1000000*60</f>
        <v>2.638937829015426</v>
      </c>
      <c r="L423">
        <v>5.6000000000000001E-2</v>
      </c>
      <c r="M423">
        <v>22.6</v>
      </c>
      <c r="N423">
        <v>101360</v>
      </c>
      <c r="O423"/>
      <c r="P423">
        <v>3</v>
      </c>
      <c r="Q423"/>
      <c r="R423" s="51" t="s">
        <v>474</v>
      </c>
      <c r="S423" t="s">
        <v>205</v>
      </c>
      <c r="T423">
        <v>1</v>
      </c>
      <c r="U423">
        <v>0.6</v>
      </c>
      <c r="V423" s="57">
        <v>1</v>
      </c>
      <c r="W423">
        <v>0.2</v>
      </c>
      <c r="X423">
        <v>72</v>
      </c>
      <c r="AD423"/>
    </row>
    <row r="424" spans="2:30" x14ac:dyDescent="0.25">
      <c r="B424" s="24" t="s">
        <v>28</v>
      </c>
      <c r="C424" s="36" t="s">
        <v>503</v>
      </c>
      <c r="D424">
        <v>452.5</v>
      </c>
      <c r="E424" t="s">
        <v>505</v>
      </c>
      <c r="F424" s="21">
        <v>46120</v>
      </c>
      <c r="G424" s="22">
        <v>0.65833333333333299</v>
      </c>
      <c r="H424" s="23">
        <f>(I424 *Tabelle1[[#This Row],[Umgebungsdruck]]/101325*273.15/(Tabelle1[[#This Row],[Umgebungstemperatur]]+273.15))/1.046</f>
        <v>2.9136268339910001</v>
      </c>
      <c r="I424" s="23">
        <f>Tabelle1[[#This Row],[Gasgeschwindigkeit]]*PI()*(Tabelle1[[#This Row],[Kanalmaße]]/1000)^2/4*1000000*60</f>
        <v>3.2986722862692828</v>
      </c>
      <c r="J424" s="30">
        <v>7.0000000000000007E-2</v>
      </c>
      <c r="K424" s="44">
        <f>Tabelle1[[#This Row],[Flüssigkeitsgeschwindigkeit]]*PI()*(Tabelle1[[#This Row],[Kanalmaße]]/1000)^2/4*1000000*60</f>
        <v>5.2307517682270053</v>
      </c>
      <c r="L424">
        <v>0.111</v>
      </c>
      <c r="M424">
        <v>22.6</v>
      </c>
      <c r="N424">
        <v>101360</v>
      </c>
      <c r="O424"/>
      <c r="P424">
        <v>3</v>
      </c>
      <c r="Q424"/>
      <c r="R424" s="51" t="s">
        <v>474</v>
      </c>
      <c r="S424" t="s">
        <v>205</v>
      </c>
      <c r="T424">
        <v>1</v>
      </c>
      <c r="U424">
        <v>0.6</v>
      </c>
      <c r="V424" s="57">
        <v>1</v>
      </c>
      <c r="W424">
        <v>0.2</v>
      </c>
      <c r="X424">
        <v>72</v>
      </c>
      <c r="AD424"/>
    </row>
    <row r="425" spans="2:30" x14ac:dyDescent="0.25">
      <c r="B425" s="24" t="s">
        <v>28</v>
      </c>
      <c r="C425" s="36" t="s">
        <v>503</v>
      </c>
      <c r="D425">
        <v>452.5</v>
      </c>
      <c r="E425" t="s">
        <v>506</v>
      </c>
      <c r="F425" s="21">
        <v>46120</v>
      </c>
      <c r="G425" s="22">
        <v>0.65416666666666701</v>
      </c>
      <c r="H425" s="23">
        <f>(I425 *Tabelle1[[#This Row],[Umgebungsdruck]]/101325*273.15/(Tabelle1[[#This Row],[Umgebungstemperatur]]+273.15))/1.046</f>
        <v>5.5775142250684855</v>
      </c>
      <c r="I425" s="23">
        <f>Tabelle1[[#This Row],[Gasgeschwindigkeit]]*PI()*(Tabelle1[[#This Row],[Kanalmaße]]/1000)^2/4*1000000*60</f>
        <v>6.314601233715484</v>
      </c>
      <c r="J425" s="30">
        <v>0.13400000000000001</v>
      </c>
      <c r="K425" s="44">
        <f>Tabelle1[[#This Row],[Flüssigkeitsgeschwindigkeit]]*PI()*(Tabelle1[[#This Row],[Kanalmaße]]/1000)^2/4*1000000*60</f>
        <v>2.638937829015426</v>
      </c>
      <c r="L425">
        <v>5.6000000000000001E-2</v>
      </c>
      <c r="M425">
        <v>22.6</v>
      </c>
      <c r="N425">
        <v>101360</v>
      </c>
      <c r="O425"/>
      <c r="P425">
        <v>3</v>
      </c>
      <c r="Q425"/>
      <c r="R425" s="51" t="s">
        <v>474</v>
      </c>
      <c r="S425" t="s">
        <v>205</v>
      </c>
      <c r="T425">
        <v>1</v>
      </c>
      <c r="U425">
        <v>0.6</v>
      </c>
      <c r="V425" s="57">
        <v>1</v>
      </c>
      <c r="W425">
        <v>0.2</v>
      </c>
      <c r="X425">
        <v>72</v>
      </c>
      <c r="AD425"/>
    </row>
    <row r="426" spans="2:30" x14ac:dyDescent="0.25">
      <c r="B426" s="24" t="s">
        <v>28</v>
      </c>
      <c r="C426" s="36" t="s">
        <v>503</v>
      </c>
      <c r="D426">
        <v>452.5</v>
      </c>
      <c r="E426" t="s">
        <v>507</v>
      </c>
      <c r="F426" s="21">
        <v>46120</v>
      </c>
      <c r="G426" s="22">
        <v>0.66249999999999998</v>
      </c>
      <c r="H426" s="23">
        <f>(I426 *Tabelle1[[#This Row],[Umgebungsdruck]]/101325*273.15/(Tabelle1[[#This Row],[Umgebungstemperatur]]+273.15))/1.046</f>
        <v>5.5775142250684855</v>
      </c>
      <c r="I426" s="23">
        <f>Tabelle1[[#This Row],[Gasgeschwindigkeit]]*PI()*(Tabelle1[[#This Row],[Kanalmaße]]/1000)^2/4*1000000*60</f>
        <v>6.314601233715484</v>
      </c>
      <c r="J426" s="30">
        <v>0.13400000000000001</v>
      </c>
      <c r="K426" s="44">
        <f>Tabelle1[[#This Row],[Flüssigkeitsgeschwindigkeit]]*PI()*(Tabelle1[[#This Row],[Kanalmaße]]/1000)^2/4*1000000*60</f>
        <v>5.2307517682270053</v>
      </c>
      <c r="L426">
        <v>0.111</v>
      </c>
      <c r="M426">
        <v>22.6</v>
      </c>
      <c r="N426">
        <v>101360</v>
      </c>
      <c r="O426"/>
      <c r="P426">
        <v>3</v>
      </c>
      <c r="Q426"/>
      <c r="R426" s="51" t="s">
        <v>474</v>
      </c>
      <c r="S426" t="s">
        <v>205</v>
      </c>
      <c r="T426">
        <v>1</v>
      </c>
      <c r="U426">
        <v>0.6</v>
      </c>
      <c r="V426" s="57">
        <v>1</v>
      </c>
      <c r="W426">
        <v>0.2</v>
      </c>
      <c r="X426">
        <v>72</v>
      </c>
      <c r="AD426"/>
    </row>
    <row r="427" spans="2:30" x14ac:dyDescent="0.25">
      <c r="B427" s="24" t="s">
        <v>28</v>
      </c>
      <c r="C427" s="36" t="s">
        <v>503</v>
      </c>
      <c r="D427">
        <v>452.5</v>
      </c>
      <c r="E427" t="s">
        <v>508</v>
      </c>
      <c r="F427" s="21">
        <v>46120</v>
      </c>
      <c r="G427" s="22">
        <v>0.66319444444444398</v>
      </c>
      <c r="H427" s="23">
        <f>(I427 *Tabelle1[[#This Row],[Umgebungsdruck]]/101325*273.15/(Tabelle1[[#This Row],[Umgebungstemperatur]]+273.15))/1.046</f>
        <v>5.5775142250684855</v>
      </c>
      <c r="I427" s="23">
        <f>Tabelle1[[#This Row],[Gasgeschwindigkeit]]*PI()*(Tabelle1[[#This Row],[Kanalmaße]]/1000)^2/4*1000000*60</f>
        <v>6.314601233715484</v>
      </c>
      <c r="J427" s="30">
        <v>0.13400000000000001</v>
      </c>
      <c r="K427" s="44">
        <f>Tabelle1[[#This Row],[Flüssigkeitsgeschwindigkeit]]*PI()*(Tabelle1[[#This Row],[Kanalmaße]]/1000)^2/4*1000000*60</f>
        <v>7.8696895972424317</v>
      </c>
      <c r="L427">
        <v>0.16700000000000001</v>
      </c>
      <c r="M427">
        <v>22.6</v>
      </c>
      <c r="N427">
        <v>101360</v>
      </c>
      <c r="O427"/>
      <c r="P427">
        <v>3</v>
      </c>
      <c r="Q427"/>
      <c r="R427" s="51" t="s">
        <v>474</v>
      </c>
      <c r="S427" t="s">
        <v>205</v>
      </c>
      <c r="T427">
        <v>1</v>
      </c>
      <c r="U427">
        <v>0.6</v>
      </c>
      <c r="V427" s="57">
        <v>1</v>
      </c>
      <c r="W427">
        <v>0.2</v>
      </c>
      <c r="X427">
        <v>72</v>
      </c>
      <c r="AD427"/>
    </row>
    <row r="428" spans="2:30" x14ac:dyDescent="0.25">
      <c r="B428" s="24" t="s">
        <v>28</v>
      </c>
      <c r="C428" s="36" t="s">
        <v>503</v>
      </c>
      <c r="D428">
        <v>452.5</v>
      </c>
      <c r="E428" t="s">
        <v>509</v>
      </c>
      <c r="F428" s="21">
        <v>46120</v>
      </c>
      <c r="G428" s="22">
        <v>0.66458333333333297</v>
      </c>
      <c r="H428" s="23">
        <f>(I428 *Tabelle1[[#This Row],[Umgebungsdruck]]/101325*273.15/(Tabelle1[[#This Row],[Umgebungstemperatur]]+273.15))/1.046</f>
        <v>5.5775142250684855</v>
      </c>
      <c r="I428" s="23">
        <f>Tabelle1[[#This Row],[Gasgeschwindigkeit]]*PI()*(Tabelle1[[#This Row],[Kanalmaße]]/1000)^2/4*1000000*60</f>
        <v>6.314601233715484</v>
      </c>
      <c r="J428" s="30">
        <v>0.13400000000000001</v>
      </c>
      <c r="K428" s="44">
        <f>Tabelle1[[#This Row],[Flüssigkeitsgeschwindigkeit]]*PI()*(Tabelle1[[#This Row],[Kanalmaße]]/1000)^2/4*1000000*60</f>
        <v>11.780972450961723</v>
      </c>
      <c r="L428">
        <v>0.25</v>
      </c>
      <c r="M428">
        <v>22.6</v>
      </c>
      <c r="N428">
        <v>101360</v>
      </c>
      <c r="O428"/>
      <c r="P428">
        <v>3</v>
      </c>
      <c r="Q428"/>
      <c r="R428" s="51" t="s">
        <v>474</v>
      </c>
      <c r="S428" t="s">
        <v>205</v>
      </c>
      <c r="T428">
        <v>1</v>
      </c>
      <c r="U428">
        <v>0.6</v>
      </c>
      <c r="V428" s="57">
        <v>1</v>
      </c>
      <c r="W428">
        <v>0.2</v>
      </c>
      <c r="X428">
        <v>72</v>
      </c>
      <c r="AD428"/>
    </row>
    <row r="429" spans="2:30" x14ac:dyDescent="0.25">
      <c r="B429" s="24" t="s">
        <v>28</v>
      </c>
      <c r="C429" s="36" t="s">
        <v>503</v>
      </c>
      <c r="D429">
        <v>452.5</v>
      </c>
      <c r="E429" t="s">
        <v>510</v>
      </c>
      <c r="F429" s="21">
        <v>46120</v>
      </c>
      <c r="G429" s="22">
        <v>0.66874999999999996</v>
      </c>
      <c r="H429" s="23">
        <f>(I429 *Tabelle1[[#This Row],[Umgebungsdruck]]/101325*273.15/(Tabelle1[[#This Row],[Umgebungstemperatur]]+273.15))/1.046</f>
        <v>8.2550460292948777</v>
      </c>
      <c r="I429" s="23">
        <f>Tabelle1[[#This Row],[Gasgeschwindigkeit]]*PI()*(Tabelle1[[#This Row],[Kanalmaße]]/1000)^2/4*1000000*60</f>
        <v>9.3459777487745423</v>
      </c>
      <c r="J429" s="30">
        <v>0.19832780756591101</v>
      </c>
      <c r="K429" s="44">
        <f>Tabelle1[[#This Row],[Flüssigkeitsgeschwindigkeit]]*PI()*(Tabelle1[[#This Row],[Kanalmaße]]/1000)^2/4*1000000*60</f>
        <v>2.638937829015426</v>
      </c>
      <c r="L429">
        <v>5.6000000000000001E-2</v>
      </c>
      <c r="M429">
        <v>22.6</v>
      </c>
      <c r="N429">
        <v>101360</v>
      </c>
      <c r="O429"/>
      <c r="P429">
        <v>3</v>
      </c>
      <c r="Q429"/>
      <c r="R429" s="51" t="s">
        <v>474</v>
      </c>
      <c r="S429" t="s">
        <v>205</v>
      </c>
      <c r="T429">
        <v>1</v>
      </c>
      <c r="U429">
        <v>0.6</v>
      </c>
      <c r="V429" s="57">
        <v>1</v>
      </c>
      <c r="W429">
        <v>0.2</v>
      </c>
      <c r="X429">
        <v>72</v>
      </c>
      <c r="AD429"/>
    </row>
    <row r="430" spans="2:30" x14ac:dyDescent="0.25">
      <c r="B430" s="24" t="s">
        <v>28</v>
      </c>
      <c r="C430" s="36" t="s">
        <v>503</v>
      </c>
      <c r="D430">
        <v>452.5</v>
      </c>
      <c r="E430" t="s">
        <v>511</v>
      </c>
      <c r="F430" s="21">
        <v>46120</v>
      </c>
      <c r="G430" s="22">
        <v>0.66944444444444395</v>
      </c>
      <c r="H430" s="23">
        <f>(I430 *Tabelle1[[#This Row],[Umgebungsdruck]]/101325*273.15/(Tabelle1[[#This Row],[Umgebungstemperatur]]+273.15))/1.046</f>
        <v>8.2550460292948777</v>
      </c>
      <c r="I430" s="23">
        <f>Tabelle1[[#This Row],[Gasgeschwindigkeit]]*PI()*(Tabelle1[[#This Row],[Kanalmaße]]/1000)^2/4*1000000*60</f>
        <v>9.3459777487745423</v>
      </c>
      <c r="J430" s="30">
        <v>0.19832780756591101</v>
      </c>
      <c r="K430" s="44">
        <f>Tabelle1[[#This Row],[Flüssigkeitsgeschwindigkeit]]*PI()*(Tabelle1[[#This Row],[Kanalmaße]]/1000)^2/4*1000000*60</f>
        <v>5.2307517682270053</v>
      </c>
      <c r="L430">
        <v>0.111</v>
      </c>
      <c r="M430">
        <v>22.6</v>
      </c>
      <c r="N430">
        <v>101360</v>
      </c>
      <c r="O430"/>
      <c r="P430">
        <v>3</v>
      </c>
      <c r="Q430"/>
      <c r="R430" s="51" t="s">
        <v>474</v>
      </c>
      <c r="S430" t="s">
        <v>205</v>
      </c>
      <c r="T430">
        <v>1</v>
      </c>
      <c r="U430">
        <v>0.6</v>
      </c>
      <c r="V430" s="57">
        <v>1</v>
      </c>
      <c r="W430">
        <v>0.2</v>
      </c>
      <c r="X430">
        <v>72</v>
      </c>
      <c r="AD430"/>
    </row>
    <row r="431" spans="2:30" x14ac:dyDescent="0.25">
      <c r="B431" s="24" t="s">
        <v>28</v>
      </c>
      <c r="C431" s="36" t="s">
        <v>503</v>
      </c>
      <c r="D431">
        <v>452.5</v>
      </c>
      <c r="E431" t="s">
        <v>512</v>
      </c>
      <c r="F431" s="21">
        <v>46120</v>
      </c>
      <c r="G431" s="22">
        <v>0.67083333333333295</v>
      </c>
      <c r="H431" s="23">
        <f>(I431 *Tabelle1[[#This Row],[Umgebungsdruck]]/101325*273.15/(Tabelle1[[#This Row],[Umgebungstemperatur]]+273.15))/1.046</f>
        <v>8.2550460292948777</v>
      </c>
      <c r="I431" s="23">
        <f>Tabelle1[[#This Row],[Gasgeschwindigkeit]]*PI()*(Tabelle1[[#This Row],[Kanalmaße]]/1000)^2/4*1000000*60</f>
        <v>9.3459777487745423</v>
      </c>
      <c r="J431" s="30">
        <v>0.19832780756591101</v>
      </c>
      <c r="K431" s="44">
        <f>Tabelle1[[#This Row],[Flüssigkeitsgeschwindigkeit]]*PI()*(Tabelle1[[#This Row],[Kanalmaße]]/1000)^2/4*1000000*60</f>
        <v>7.8696895972424317</v>
      </c>
      <c r="L431">
        <v>0.16700000000000001</v>
      </c>
      <c r="M431">
        <v>22.6</v>
      </c>
      <c r="N431">
        <v>101360</v>
      </c>
      <c r="O431"/>
      <c r="P431">
        <v>3</v>
      </c>
      <c r="Q431"/>
      <c r="R431" s="51" t="s">
        <v>474</v>
      </c>
      <c r="S431" t="s">
        <v>205</v>
      </c>
      <c r="T431">
        <v>1</v>
      </c>
      <c r="U431">
        <v>0.6</v>
      </c>
      <c r="V431" s="57">
        <v>1</v>
      </c>
      <c r="W431">
        <v>0.2</v>
      </c>
      <c r="X431">
        <v>72</v>
      </c>
      <c r="AD431"/>
    </row>
    <row r="432" spans="2:30" x14ac:dyDescent="0.25">
      <c r="B432" s="24" t="s">
        <v>28</v>
      </c>
      <c r="C432" s="36" t="s">
        <v>503</v>
      </c>
      <c r="D432">
        <v>452.5</v>
      </c>
      <c r="E432" t="s">
        <v>513</v>
      </c>
      <c r="F432" s="21">
        <v>46120</v>
      </c>
      <c r="G432" s="22">
        <v>0.67152777777777795</v>
      </c>
      <c r="H432" s="23">
        <f>(I432 *Tabelle1[[#This Row],[Umgebungsdruck]]/101325*273.15/(Tabelle1[[#This Row],[Umgebungstemperatur]]+273.15))/1.046</f>
        <v>8.2550460292948777</v>
      </c>
      <c r="I432" s="23">
        <f>Tabelle1[[#This Row],[Gasgeschwindigkeit]]*PI()*(Tabelle1[[#This Row],[Kanalmaße]]/1000)^2/4*1000000*60</f>
        <v>9.3459777487745423</v>
      </c>
      <c r="J432" s="30">
        <v>0.19832780756591101</v>
      </c>
      <c r="K432" s="44">
        <f>Tabelle1[[#This Row],[Flüssigkeitsgeschwindigkeit]]*PI()*(Tabelle1[[#This Row],[Kanalmaße]]/1000)^2/4*1000000*60</f>
        <v>11.780972450961723</v>
      </c>
      <c r="L432">
        <v>0.25</v>
      </c>
      <c r="M432">
        <v>22.6</v>
      </c>
      <c r="N432">
        <v>101360</v>
      </c>
      <c r="O432"/>
      <c r="P432">
        <v>3</v>
      </c>
      <c r="Q432"/>
      <c r="R432" s="51" t="s">
        <v>474</v>
      </c>
      <c r="S432" t="s">
        <v>205</v>
      </c>
      <c r="T432">
        <v>1</v>
      </c>
      <c r="U432">
        <v>0.6</v>
      </c>
      <c r="V432" s="57">
        <v>1</v>
      </c>
      <c r="W432">
        <v>0.2</v>
      </c>
      <c r="X432">
        <v>72</v>
      </c>
      <c r="AD432"/>
    </row>
    <row r="433" spans="2:30" x14ac:dyDescent="0.25">
      <c r="B433" s="24" t="s">
        <v>28</v>
      </c>
      <c r="C433" s="36" t="s">
        <v>503</v>
      </c>
      <c r="D433">
        <v>452.5</v>
      </c>
      <c r="E433" t="s">
        <v>514</v>
      </c>
      <c r="F433" s="21">
        <v>46120</v>
      </c>
      <c r="G433" s="22">
        <v>0.67500000000000004</v>
      </c>
      <c r="H433" s="23">
        <f>(I433 *Tabelle1[[#This Row],[Umgebungsdruck]]/101325*273.15/(Tabelle1[[#This Row],[Umgebungstemperatur]]+273.15))/1.046</f>
        <v>10.954707712910285</v>
      </c>
      <c r="I433" s="23">
        <f>Tabelle1[[#This Row],[Gasgeschwindigkeit]]*PI()*(Tabelle1[[#This Row],[Kanalmaße]]/1000)^2/4*1000000*60</f>
        <v>12.402408680201335</v>
      </c>
      <c r="J433" s="30">
        <v>0.26318728635998301</v>
      </c>
      <c r="K433" s="44">
        <f>Tabelle1[[#This Row],[Flüssigkeitsgeschwindigkeit]]*PI()*(Tabelle1[[#This Row],[Kanalmaße]]/1000)^2/4*1000000*60</f>
        <v>2.638937829015426</v>
      </c>
      <c r="L433">
        <v>5.6000000000000001E-2</v>
      </c>
      <c r="M433">
        <v>22.6</v>
      </c>
      <c r="N433">
        <v>101360</v>
      </c>
      <c r="O433"/>
      <c r="P433">
        <v>3</v>
      </c>
      <c r="Q433"/>
      <c r="R433" s="51" t="s">
        <v>474</v>
      </c>
      <c r="S433" t="s">
        <v>205</v>
      </c>
      <c r="T433">
        <v>1</v>
      </c>
      <c r="U433">
        <v>0.6</v>
      </c>
      <c r="V433" s="57">
        <v>1</v>
      </c>
      <c r="W433">
        <v>0.2</v>
      </c>
      <c r="X433">
        <v>72</v>
      </c>
      <c r="AD433"/>
    </row>
    <row r="434" spans="2:30" x14ac:dyDescent="0.25">
      <c r="B434" s="24" t="s">
        <v>28</v>
      </c>
      <c r="C434" s="36" t="s">
        <v>503</v>
      </c>
      <c r="D434" s="15">
        <v>452.5</v>
      </c>
      <c r="E434" s="15" t="s">
        <v>515</v>
      </c>
      <c r="F434" s="21">
        <v>46120</v>
      </c>
      <c r="G434" s="22">
        <v>0.67638888888888904</v>
      </c>
      <c r="H434" s="23">
        <f>(I434 *Tabelle1[[#This Row],[Umgebungsdruck]]/101325*273.15/(Tabelle1[[#This Row],[Umgebungstemperatur]]+273.15))/1.046</f>
        <v>10.954707712910285</v>
      </c>
      <c r="I434" s="23">
        <f>Tabelle1[[#This Row],[Gasgeschwindigkeit]]*PI()*(Tabelle1[[#This Row],[Kanalmaße]]/1000)^2/4*1000000*60</f>
        <v>12.402408680201335</v>
      </c>
      <c r="J434" s="30">
        <v>0.26318728635998301</v>
      </c>
      <c r="K434" s="44">
        <f>Tabelle1[[#This Row],[Flüssigkeitsgeschwindigkeit]]*PI()*(Tabelle1[[#This Row],[Kanalmaße]]/1000)^2/4*1000000*60</f>
        <v>5.2307517682270053</v>
      </c>
      <c r="L434" s="15">
        <v>0.111</v>
      </c>
      <c r="M434" s="15">
        <v>22.6</v>
      </c>
      <c r="N434" s="15">
        <v>101360</v>
      </c>
      <c r="P434" s="15">
        <v>3</v>
      </c>
      <c r="R434" s="51" t="s">
        <v>474</v>
      </c>
      <c r="S434" s="15" t="s">
        <v>205</v>
      </c>
      <c r="T434">
        <v>1</v>
      </c>
      <c r="U434">
        <v>0.6</v>
      </c>
      <c r="V434" s="57">
        <v>1</v>
      </c>
      <c r="W434">
        <v>0.2</v>
      </c>
      <c r="X434" s="15">
        <v>72</v>
      </c>
      <c r="AD434"/>
    </row>
    <row r="435" spans="2:30" x14ac:dyDescent="0.25">
      <c r="B435" s="24" t="s">
        <v>28</v>
      </c>
      <c r="C435" s="36" t="s">
        <v>503</v>
      </c>
      <c r="D435" s="15">
        <v>452.5</v>
      </c>
      <c r="E435" s="15" t="s">
        <v>516</v>
      </c>
      <c r="F435" s="21">
        <v>46120</v>
      </c>
      <c r="G435" s="22">
        <v>0.67777777777777803</v>
      </c>
      <c r="H435" s="23">
        <f>(I435 *Tabelle1[[#This Row],[Umgebungsdruck]]/101325*273.15/(Tabelle1[[#This Row],[Umgebungstemperatur]]+273.15))/1.046</f>
        <v>10.954707712910285</v>
      </c>
      <c r="I435" s="23">
        <f>Tabelle1[[#This Row],[Gasgeschwindigkeit]]*PI()*(Tabelle1[[#This Row],[Kanalmaße]]/1000)^2/4*1000000*60</f>
        <v>12.402408680201335</v>
      </c>
      <c r="J435" s="30">
        <v>0.26318728635998301</v>
      </c>
      <c r="K435" s="44">
        <f>Tabelle1[[#This Row],[Flüssigkeitsgeschwindigkeit]]*PI()*(Tabelle1[[#This Row],[Kanalmaße]]/1000)^2/4*1000000*60</f>
        <v>7.8696895972424317</v>
      </c>
      <c r="L435" s="15">
        <v>0.16700000000000001</v>
      </c>
      <c r="M435" s="15">
        <v>22.6</v>
      </c>
      <c r="N435" s="15">
        <v>101360</v>
      </c>
      <c r="P435" s="15">
        <v>3</v>
      </c>
      <c r="R435" s="51" t="s">
        <v>474</v>
      </c>
      <c r="S435" s="15" t="s">
        <v>205</v>
      </c>
      <c r="T435">
        <v>1</v>
      </c>
      <c r="U435">
        <v>0.6</v>
      </c>
      <c r="V435" s="57">
        <v>1</v>
      </c>
      <c r="W435">
        <v>0.2</v>
      </c>
      <c r="X435" s="15">
        <v>72</v>
      </c>
      <c r="AD435"/>
    </row>
    <row r="436" spans="2:30" x14ac:dyDescent="0.25">
      <c r="B436" s="24" t="s">
        <v>28</v>
      </c>
      <c r="C436" s="36" t="s">
        <v>503</v>
      </c>
      <c r="D436" s="15">
        <v>452.5</v>
      </c>
      <c r="E436" s="47" t="s">
        <v>517</v>
      </c>
      <c r="F436" s="21">
        <v>46120</v>
      </c>
      <c r="G436" s="73">
        <v>0.67916666666666703</v>
      </c>
      <c r="H436" s="23">
        <f>(I436 *Tabelle1[[#This Row],[Umgebungsdruck]]/101325*273.15/(Tabelle1[[#This Row],[Umgebungstemperatur]]+273.15))/1.046</f>
        <v>10.954707712910285</v>
      </c>
      <c r="I436" s="74">
        <f>Tabelle1[[#This Row],[Gasgeschwindigkeit]]*PI()*(Tabelle1[[#This Row],[Kanalmaße]]/1000)^2/4*1000000*60</f>
        <v>12.402408680201335</v>
      </c>
      <c r="J436" s="75">
        <v>0.26318728635998301</v>
      </c>
      <c r="K436" s="74">
        <f>Tabelle1[[#This Row],[Flüssigkeitsgeschwindigkeit]]*PI()*(Tabelle1[[#This Row],[Kanalmaße]]/1000)^2/4*1000000*60</f>
        <v>11.780972450961723</v>
      </c>
      <c r="L436" s="47">
        <v>0.25</v>
      </c>
      <c r="M436" s="15">
        <v>22.6</v>
      </c>
      <c r="N436" s="15">
        <v>101360</v>
      </c>
      <c r="O436" s="47"/>
      <c r="P436" s="47">
        <v>3</v>
      </c>
      <c r="Q436" s="47"/>
      <c r="R436" s="51" t="s">
        <v>474</v>
      </c>
      <c r="S436" s="47" t="s">
        <v>205</v>
      </c>
      <c r="T436">
        <v>1</v>
      </c>
      <c r="U436">
        <v>0.6</v>
      </c>
      <c r="V436" s="57">
        <v>1</v>
      </c>
      <c r="W436" s="47">
        <v>0.2</v>
      </c>
      <c r="X436" s="47">
        <v>72</v>
      </c>
      <c r="AD436"/>
    </row>
    <row r="437" spans="2:30" x14ac:dyDescent="0.25">
      <c r="AD437"/>
    </row>
    <row r="438" spans="2:30" x14ac:dyDescent="0.25">
      <c r="AD438"/>
    </row>
    <row r="439" spans="2:30" x14ac:dyDescent="0.25">
      <c r="AD439"/>
    </row>
    <row r="440" spans="2:30" x14ac:dyDescent="0.25">
      <c r="AD440"/>
    </row>
    <row r="441" spans="2:30" x14ac:dyDescent="0.25">
      <c r="AD441"/>
    </row>
    <row r="442" spans="2:30" x14ac:dyDescent="0.25">
      <c r="AD442"/>
    </row>
    <row r="443" spans="2:30" x14ac:dyDescent="0.25">
      <c r="AD443"/>
    </row>
    <row r="444" spans="2:30" x14ac:dyDescent="0.25">
      <c r="AD444"/>
    </row>
    <row r="445" spans="2:30" x14ac:dyDescent="0.25">
      <c r="AD445"/>
    </row>
    <row r="446" spans="2:30" x14ac:dyDescent="0.25">
      <c r="AD446"/>
    </row>
  </sheetData>
  <mergeCells count="5">
    <mergeCell ref="A149:A168"/>
    <mergeCell ref="A183:A195"/>
    <mergeCell ref="A210:A222"/>
    <mergeCell ref="A237:A241"/>
    <mergeCell ref="A266:A270"/>
  </mergeCells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G76"/>
  <sheetViews>
    <sheetView topLeftCell="A6" zoomScale="70" zoomScaleNormal="70" workbookViewId="0">
      <selection activeCell="V64" sqref="V64"/>
    </sheetView>
  </sheetViews>
  <sheetFormatPr baseColWidth="10" defaultColWidth="10.5703125" defaultRowHeight="15" x14ac:dyDescent="0.25"/>
  <cols>
    <col min="16" max="16" width="14.5703125" style="15" customWidth="1"/>
    <col min="17" max="17" width="17.7109375" style="15" customWidth="1"/>
    <col min="19" max="19" width="12.5703125" customWidth="1"/>
    <col min="29" max="29" width="23.140625" customWidth="1"/>
    <col min="43" max="43" width="12.28515625" style="15" customWidth="1"/>
  </cols>
  <sheetData>
    <row r="2" spans="1:41" x14ac:dyDescent="0.25">
      <c r="B2" s="76" t="s">
        <v>518</v>
      </c>
      <c r="C2" s="76"/>
      <c r="D2" s="76"/>
    </row>
    <row r="3" spans="1:41" x14ac:dyDescent="0.25">
      <c r="B3" s="76" t="s">
        <v>519</v>
      </c>
      <c r="C3" s="76" t="s">
        <v>520</v>
      </c>
      <c r="D3" s="76"/>
    </row>
    <row r="4" spans="1:41" x14ac:dyDescent="0.25">
      <c r="B4" s="77" t="s">
        <v>521</v>
      </c>
      <c r="C4" s="78">
        <v>26</v>
      </c>
    </row>
    <row r="5" spans="1:41" x14ac:dyDescent="0.25">
      <c r="B5" s="79" t="s">
        <v>522</v>
      </c>
      <c r="C5" s="80">
        <v>101325</v>
      </c>
    </row>
    <row r="7" spans="1:41" x14ac:dyDescent="0.25">
      <c r="M7" s="15"/>
      <c r="N7" s="15"/>
    </row>
    <row r="8" spans="1:41" x14ac:dyDescent="0.25">
      <c r="R8" s="15"/>
      <c r="S8" s="15"/>
      <c r="T8" s="15"/>
      <c r="U8" s="15"/>
      <c r="V8" s="15"/>
      <c r="W8" s="15"/>
      <c r="X8" s="15"/>
    </row>
    <row r="9" spans="1:41" x14ac:dyDescent="0.25">
      <c r="Z9" s="15"/>
    </row>
    <row r="10" spans="1:41" x14ac:dyDescent="0.25"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</row>
    <row r="11" spans="1:41" x14ac:dyDescent="0.25"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</row>
    <row r="12" spans="1:41" ht="15" customHeight="1" x14ac:dyDescent="0.25">
      <c r="B12" s="13" t="s">
        <v>523</v>
      </c>
      <c r="C12" s="13"/>
      <c r="D12" s="13"/>
      <c r="E12" s="13"/>
      <c r="F12" s="13"/>
      <c r="G12" s="12" t="s">
        <v>524</v>
      </c>
      <c r="H12" s="12"/>
      <c r="I12" s="12" t="s">
        <v>525</v>
      </c>
      <c r="J12" s="12"/>
      <c r="K12" s="12" t="s">
        <v>526</v>
      </c>
      <c r="L12" s="12"/>
      <c r="M12" s="12" t="s">
        <v>527</v>
      </c>
      <c r="N12" s="12"/>
      <c r="O12" s="11" t="s">
        <v>528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0" t="s">
        <v>529</v>
      </c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ht="17.25" customHeight="1" x14ac:dyDescent="0.25">
      <c r="B13" s="9" t="s">
        <v>530</v>
      </c>
      <c r="C13" s="8" t="s">
        <v>531</v>
      </c>
      <c r="D13" s="8"/>
      <c r="E13" s="8" t="s">
        <v>532</v>
      </c>
      <c r="F13" s="8"/>
      <c r="G13" s="12"/>
      <c r="H13" s="12"/>
      <c r="I13" s="12"/>
      <c r="J13" s="12"/>
      <c r="K13" s="12"/>
      <c r="L13" s="12"/>
      <c r="M13" s="12"/>
      <c r="N13" s="12"/>
      <c r="O13" s="7" t="s">
        <v>525</v>
      </c>
      <c r="P13" s="7"/>
      <c r="Q13" s="8" t="s">
        <v>533</v>
      </c>
      <c r="R13" s="8"/>
      <c r="S13" s="8" t="s">
        <v>534</v>
      </c>
      <c r="T13" s="8"/>
      <c r="U13" s="7" t="s">
        <v>535</v>
      </c>
      <c r="V13" s="7"/>
      <c r="W13" s="7"/>
      <c r="X13" s="7"/>
      <c r="Y13" s="7"/>
      <c r="Z13" s="7" t="s">
        <v>536</v>
      </c>
      <c r="AA13" s="7" t="s">
        <v>537</v>
      </c>
      <c r="AB13" s="7" t="s">
        <v>538</v>
      </c>
      <c r="AC13" s="7"/>
      <c r="AD13" s="7"/>
      <c r="AE13" s="7"/>
      <c r="AF13" s="7" t="s">
        <v>539</v>
      </c>
      <c r="AG13" s="7" t="s">
        <v>540</v>
      </c>
      <c r="AH13" s="7" t="s">
        <v>541</v>
      </c>
      <c r="AI13" s="8" t="s">
        <v>542</v>
      </c>
      <c r="AJ13" s="8"/>
      <c r="AK13" s="7" t="s">
        <v>536</v>
      </c>
      <c r="AL13" s="7" t="s">
        <v>537</v>
      </c>
      <c r="AM13" s="6" t="s">
        <v>538</v>
      </c>
      <c r="AN13" s="6"/>
      <c r="AO13" s="6"/>
    </row>
    <row r="14" spans="1:41" ht="15.75" x14ac:dyDescent="0.25">
      <c r="B14" s="9"/>
      <c r="C14" s="8"/>
      <c r="D14" s="8"/>
      <c r="E14" s="8"/>
      <c r="F14" s="8"/>
      <c r="G14" s="12"/>
      <c r="H14" s="12"/>
      <c r="I14" s="12"/>
      <c r="J14" s="12"/>
      <c r="K14" s="12"/>
      <c r="L14" s="12"/>
      <c r="M14" s="12"/>
      <c r="N14" s="12"/>
      <c r="O14" s="7"/>
      <c r="P14" s="7"/>
      <c r="Q14" s="8"/>
      <c r="R14" s="8"/>
      <c r="S14" s="8"/>
      <c r="T14" s="8"/>
      <c r="U14" s="83" t="s">
        <v>543</v>
      </c>
      <c r="V14" s="8" t="s">
        <v>544</v>
      </c>
      <c r="W14" s="8"/>
      <c r="X14" s="8" t="s">
        <v>545</v>
      </c>
      <c r="Y14" s="8"/>
      <c r="Z14" s="7"/>
      <c r="AA14" s="7"/>
      <c r="AB14" s="7"/>
      <c r="AC14" s="7"/>
      <c r="AD14" s="7"/>
      <c r="AE14" s="7"/>
      <c r="AF14" s="7"/>
      <c r="AG14" s="7"/>
      <c r="AH14" s="7"/>
      <c r="AI14" s="8"/>
      <c r="AJ14" s="8"/>
      <c r="AK14" s="7"/>
      <c r="AL14" s="7"/>
      <c r="AM14" s="7"/>
      <c r="AN14" s="6"/>
      <c r="AO14" s="6"/>
    </row>
    <row r="15" spans="1:41" ht="63.75" customHeight="1" x14ac:dyDescent="0.25">
      <c r="B15" s="9"/>
      <c r="C15" s="84" t="s">
        <v>546</v>
      </c>
      <c r="D15" s="84" t="s">
        <v>547</v>
      </c>
      <c r="E15" s="84" t="s">
        <v>546</v>
      </c>
      <c r="F15" s="84" t="s">
        <v>547</v>
      </c>
      <c r="G15" s="84" t="s">
        <v>548</v>
      </c>
      <c r="H15" s="84" t="s">
        <v>549</v>
      </c>
      <c r="I15" s="84" t="s">
        <v>548</v>
      </c>
      <c r="J15" s="84" t="s">
        <v>549</v>
      </c>
      <c r="K15" s="84" t="s">
        <v>548</v>
      </c>
      <c r="L15" s="84" t="s">
        <v>549</v>
      </c>
      <c r="M15" s="84" t="s">
        <v>548</v>
      </c>
      <c r="N15" s="84" t="s">
        <v>549</v>
      </c>
      <c r="O15" s="84" t="s">
        <v>548</v>
      </c>
      <c r="P15" s="84" t="s">
        <v>549</v>
      </c>
      <c r="Q15" s="83" t="s">
        <v>550</v>
      </c>
      <c r="R15" s="83" t="s">
        <v>551</v>
      </c>
      <c r="S15" s="83" t="s">
        <v>551</v>
      </c>
      <c r="T15" s="83" t="s">
        <v>552</v>
      </c>
      <c r="U15" s="83" t="s">
        <v>553</v>
      </c>
      <c r="V15" s="84" t="s">
        <v>554</v>
      </c>
      <c r="W15" s="84" t="s">
        <v>555</v>
      </c>
      <c r="X15" s="84" t="s">
        <v>554</v>
      </c>
      <c r="Y15" s="84" t="s">
        <v>555</v>
      </c>
      <c r="Z15" s="7"/>
      <c r="AA15" s="7"/>
      <c r="AB15" s="84" t="s">
        <v>556</v>
      </c>
      <c r="AC15" s="84" t="s">
        <v>557</v>
      </c>
      <c r="AD15" s="84" t="s">
        <v>558</v>
      </c>
      <c r="AE15" s="84" t="s">
        <v>559</v>
      </c>
      <c r="AF15" s="7"/>
      <c r="AG15" s="7"/>
      <c r="AH15" s="7"/>
      <c r="AI15" s="84" t="s">
        <v>560</v>
      </c>
      <c r="AJ15" s="84" t="s">
        <v>561</v>
      </c>
      <c r="AK15" s="7"/>
      <c r="AL15" s="7"/>
      <c r="AM15" s="84" t="s">
        <v>556</v>
      </c>
      <c r="AN15" s="84" t="s">
        <v>557</v>
      </c>
      <c r="AO15" s="85" t="s">
        <v>562</v>
      </c>
    </row>
    <row r="16" spans="1:41" ht="15.75" customHeight="1" x14ac:dyDescent="0.25">
      <c r="A16" s="86">
        <v>46091</v>
      </c>
      <c r="B16" s="5"/>
      <c r="C16" s="4">
        <v>21.6</v>
      </c>
      <c r="D16" s="4">
        <v>100510</v>
      </c>
      <c r="E16" s="4"/>
      <c r="F16" s="4"/>
      <c r="G16" s="3" t="s">
        <v>563</v>
      </c>
      <c r="H16" s="3" t="s">
        <v>563</v>
      </c>
      <c r="I16" s="2">
        <v>31.68</v>
      </c>
      <c r="J16" s="2">
        <v>7.92</v>
      </c>
      <c r="K16" s="2">
        <f>(I16)/1.101*(D16/101325)*273.15/(273.15+C16)</f>
        <v>26.45074481201333</v>
      </c>
      <c r="L16" s="2">
        <f>(((J16*1000/60)*(D16/101325)*273.15/(273.15+C16))+ 37.091)/1.0814*60/1000</f>
        <v>8.7904822540287331</v>
      </c>
      <c r="M16" s="4">
        <v>26.5</v>
      </c>
      <c r="N16" s="4">
        <v>8.8000000000000007</v>
      </c>
      <c r="O16" s="2">
        <f>(M16)*1.101*(101325/D16)*(273.15+C16)/273.15</f>
        <v>31.738992832394988</v>
      </c>
      <c r="P16" s="2">
        <f>(((N16*1000/60)*1.0814-37.091)*101325/D16*(C16+273.15)/273.15)*60/1000</f>
        <v>7.9311964520074456</v>
      </c>
      <c r="Q16" s="2">
        <f>SUM(O16:P16)</f>
        <v>39.670189284402433</v>
      </c>
      <c r="R16" s="2">
        <f>Q16*1000/60</f>
        <v>661.16982140670723</v>
      </c>
      <c r="S16" s="2">
        <f>R16/100</f>
        <v>6.6116982140670721</v>
      </c>
      <c r="T16" s="2">
        <f>S16/60</f>
        <v>0.1101949702344512</v>
      </c>
      <c r="U16" s="2">
        <f>100*P16/SUM(O16:P16)</f>
        <v>19.992837430513198</v>
      </c>
      <c r="V16" s="4">
        <v>19.8</v>
      </c>
      <c r="W16" s="4"/>
      <c r="X16" s="4">
        <v>19.7</v>
      </c>
      <c r="Y16" s="4"/>
      <c r="Z16" s="2">
        <f>166.74 + ((165.46 - 166.74)/(300-6))* (Q16-6)</f>
        <v>166.59340869971419</v>
      </c>
      <c r="AA16" s="2">
        <f>1/((Z16*Q16)/3600)</f>
        <v>0.54472889586180095</v>
      </c>
      <c r="AB16" s="2">
        <f>AA16*AC16</f>
        <v>217.89155834472038</v>
      </c>
      <c r="AC16" s="1">
        <v>400</v>
      </c>
      <c r="AD16" s="1">
        <v>221.6</v>
      </c>
      <c r="AE16" s="1">
        <v>230.5</v>
      </c>
      <c r="AF16" s="89">
        <v>90</v>
      </c>
      <c r="AG16" s="90">
        <v>7000</v>
      </c>
      <c r="AH16" s="91">
        <v>6.31</v>
      </c>
      <c r="AI16" s="92">
        <f>AH16*$O$16/(100-AH16)</f>
        <v>2.1376138837913583</v>
      </c>
      <c r="AJ16" s="92">
        <f>AI16+$O$16</f>
        <v>33.876606716186345</v>
      </c>
      <c r="AK16" s="92">
        <f t="shared" ref="AK16:AK40" si="0">166.74 + ((165.46 - 166.74)/(300-6))* (AJ16-6)</f>
        <v>166.61863246055538</v>
      </c>
      <c r="AL16" s="92">
        <f t="shared" ref="AL16:AL40" si="1">1/((AK16*AJ16)/3600)</f>
        <v>0.63779194914024595</v>
      </c>
      <c r="AM16" s="92">
        <f t="shared" ref="AM16:AM40" si="2">AL16*AN16</f>
        <v>255.11677965609837</v>
      </c>
      <c r="AN16" s="90">
        <v>400</v>
      </c>
      <c r="AO16" s="93">
        <v>245.3</v>
      </c>
    </row>
    <row r="17" spans="1:41" ht="15" customHeight="1" x14ac:dyDescent="0.25">
      <c r="B17" s="5"/>
      <c r="C17" s="4"/>
      <c r="D17" s="4"/>
      <c r="E17" s="4"/>
      <c r="F17" s="4"/>
      <c r="G17" s="3"/>
      <c r="H17" s="3"/>
      <c r="I17" s="2"/>
      <c r="J17" s="2"/>
      <c r="K17" s="2"/>
      <c r="L17" s="2"/>
      <c r="M17" s="4"/>
      <c r="N17" s="4"/>
      <c r="O17" s="2"/>
      <c r="P17" s="2"/>
      <c r="Q17" s="2"/>
      <c r="R17" s="2"/>
      <c r="S17" s="2"/>
      <c r="T17" s="2"/>
      <c r="U17" s="2"/>
      <c r="V17" s="4"/>
      <c r="W17" s="4"/>
      <c r="X17" s="4"/>
      <c r="Y17" s="4"/>
      <c r="Z17" s="2"/>
      <c r="AA17" s="2"/>
      <c r="AB17" s="2"/>
      <c r="AC17" s="1"/>
      <c r="AD17" s="1"/>
      <c r="AE17" s="1"/>
      <c r="AF17" s="89">
        <v>70</v>
      </c>
      <c r="AG17" s="90">
        <v>6000</v>
      </c>
      <c r="AH17" s="91">
        <v>7.2</v>
      </c>
      <c r="AI17" s="92">
        <f>AH17*$O$16/(100-AH17)</f>
        <v>2.4625080645823698</v>
      </c>
      <c r="AJ17" s="92">
        <f>AI17+$O$16</f>
        <v>34.201500896977358</v>
      </c>
      <c r="AK17" s="92">
        <f t="shared" si="0"/>
        <v>166.61721795527848</v>
      </c>
      <c r="AL17" s="92">
        <f t="shared" si="1"/>
        <v>0.63173866316603211</v>
      </c>
      <c r="AM17" s="92">
        <f t="shared" si="2"/>
        <v>252.69546526641284</v>
      </c>
      <c r="AN17" s="90">
        <v>400</v>
      </c>
      <c r="AO17" s="93">
        <v>239.1</v>
      </c>
    </row>
    <row r="18" spans="1:41" x14ac:dyDescent="0.25">
      <c r="B18" s="5"/>
      <c r="C18" s="4"/>
      <c r="D18" s="4"/>
      <c r="E18" s="4"/>
      <c r="F18" s="4"/>
      <c r="G18" s="3"/>
      <c r="H18" s="3"/>
      <c r="I18" s="2"/>
      <c r="J18" s="2"/>
      <c r="K18" s="2"/>
      <c r="L18" s="2"/>
      <c r="M18" s="4"/>
      <c r="N18" s="4"/>
      <c r="O18" s="2"/>
      <c r="P18" s="2"/>
      <c r="Q18" s="2"/>
      <c r="R18" s="2"/>
      <c r="S18" s="2"/>
      <c r="T18" s="2"/>
      <c r="U18" s="2"/>
      <c r="V18" s="4"/>
      <c r="W18" s="4"/>
      <c r="X18" s="4"/>
      <c r="Y18" s="4"/>
      <c r="Z18" s="2"/>
      <c r="AA18" s="2"/>
      <c r="AB18" s="2"/>
      <c r="AC18" s="1"/>
      <c r="AD18" s="1"/>
      <c r="AE18" s="1"/>
      <c r="AF18" s="89">
        <v>60</v>
      </c>
      <c r="AG18" s="90">
        <v>6000</v>
      </c>
      <c r="AH18" s="91">
        <v>8.2100000000000009</v>
      </c>
      <c r="AI18" s="92">
        <f>AH18*$O$16/(100-AH18)</f>
        <v>2.8388400822961422</v>
      </c>
      <c r="AJ18" s="92">
        <f>AI18+$O$16</f>
        <v>34.577832914691129</v>
      </c>
      <c r="AK18" s="92">
        <f t="shared" si="0"/>
        <v>166.61557950295645</v>
      </c>
      <c r="AL18" s="92">
        <f t="shared" si="1"/>
        <v>0.62486920391462675</v>
      </c>
      <c r="AM18" s="92">
        <f t="shared" si="2"/>
        <v>249.9476815658507</v>
      </c>
      <c r="AN18" s="90">
        <v>400</v>
      </c>
      <c r="AO18" s="93">
        <v>240</v>
      </c>
    </row>
    <row r="19" spans="1:41" x14ac:dyDescent="0.25">
      <c r="B19" s="5"/>
      <c r="C19" s="4"/>
      <c r="D19" s="4"/>
      <c r="E19" s="4"/>
      <c r="F19" s="4"/>
      <c r="G19" s="3"/>
      <c r="H19" s="3"/>
      <c r="I19" s="2"/>
      <c r="J19" s="2"/>
      <c r="K19" s="2"/>
      <c r="L19" s="2"/>
      <c r="M19" s="4"/>
      <c r="N19" s="4"/>
      <c r="O19" s="2"/>
      <c r="P19" s="2"/>
      <c r="Q19" s="2"/>
      <c r="R19" s="2"/>
      <c r="S19" s="2"/>
      <c r="T19" s="2"/>
      <c r="U19" s="2"/>
      <c r="V19" s="4"/>
      <c r="W19" s="4"/>
      <c r="X19" s="4"/>
      <c r="Y19" s="4"/>
      <c r="Z19" s="2"/>
      <c r="AA19" s="2"/>
      <c r="AB19" s="2"/>
      <c r="AC19" s="1"/>
      <c r="AD19" s="1"/>
      <c r="AE19" s="1"/>
      <c r="AF19" s="89">
        <v>40</v>
      </c>
      <c r="AG19" s="90">
        <v>6000</v>
      </c>
      <c r="AH19" s="91">
        <v>10.45</v>
      </c>
      <c r="AI19" s="92">
        <f>AH19*$O$16/(100-AH19)</f>
        <v>3.7037685661477124</v>
      </c>
      <c r="AJ19" s="92">
        <f>AI19+$O$16</f>
        <v>35.4427613985427</v>
      </c>
      <c r="AK19" s="92">
        <f t="shared" si="0"/>
        <v>166.61181382792472</v>
      </c>
      <c r="AL19" s="92">
        <f t="shared" si="1"/>
        <v>0.60963396800196579</v>
      </c>
      <c r="AM19" s="92">
        <f t="shared" si="2"/>
        <v>243.85358720078631</v>
      </c>
      <c r="AN19" s="90">
        <v>400</v>
      </c>
      <c r="AO19" s="93">
        <v>230.5</v>
      </c>
    </row>
    <row r="20" spans="1:41" x14ac:dyDescent="0.25">
      <c r="B20" s="5"/>
      <c r="C20" s="4"/>
      <c r="D20" s="4"/>
      <c r="E20" s="4"/>
      <c r="F20" s="4"/>
      <c r="G20" s="3"/>
      <c r="H20" s="3"/>
      <c r="I20" s="2"/>
      <c r="J20" s="2"/>
      <c r="K20" s="2"/>
      <c r="L20" s="2"/>
      <c r="M20" s="4"/>
      <c r="N20" s="4"/>
      <c r="O20" s="2"/>
      <c r="P20" s="2"/>
      <c r="Q20" s="2"/>
      <c r="R20" s="2"/>
      <c r="S20" s="2"/>
      <c r="T20" s="2"/>
      <c r="U20" s="2"/>
      <c r="V20" s="4"/>
      <c r="W20" s="4"/>
      <c r="X20" s="4"/>
      <c r="Y20" s="4"/>
      <c r="Z20" s="2"/>
      <c r="AA20" s="2"/>
      <c r="AB20" s="2"/>
      <c r="AC20" s="1"/>
      <c r="AD20" s="1"/>
      <c r="AE20" s="1"/>
      <c r="AF20" s="94">
        <v>20</v>
      </c>
      <c r="AG20" s="87">
        <v>5000</v>
      </c>
      <c r="AH20" s="95">
        <v>14</v>
      </c>
      <c r="AI20" s="88">
        <f>AH20*$O$16/(100-AH20)</f>
        <v>5.1668127866689515</v>
      </c>
      <c r="AJ20" s="88">
        <f>AI20+$O$16</f>
        <v>36.905805619063941</v>
      </c>
      <c r="AK20" s="88">
        <f t="shared" si="0"/>
        <v>166.60544411159049</v>
      </c>
      <c r="AL20" s="88">
        <f t="shared" si="1"/>
        <v>0.58548884101986565</v>
      </c>
      <c r="AM20" s="88">
        <f t="shared" si="2"/>
        <v>234.19553640794626</v>
      </c>
      <c r="AN20" s="87">
        <v>400</v>
      </c>
      <c r="AO20" s="96">
        <v>230</v>
      </c>
    </row>
    <row r="21" spans="1:41" x14ac:dyDescent="0.25">
      <c r="A21" s="86">
        <v>46092</v>
      </c>
      <c r="B21" s="5"/>
      <c r="C21" s="104">
        <v>21.4</v>
      </c>
      <c r="D21" s="104">
        <v>100480</v>
      </c>
      <c r="E21" s="104">
        <v>21.7</v>
      </c>
      <c r="F21" s="104">
        <v>100450</v>
      </c>
      <c r="G21" s="105" t="s">
        <v>563</v>
      </c>
      <c r="H21" s="105" t="s">
        <v>563</v>
      </c>
      <c r="I21" s="106">
        <v>71</v>
      </c>
      <c r="J21" s="106">
        <v>14</v>
      </c>
      <c r="K21" s="107">
        <f>(I21)/1.101*(D21/101325)*273.15/(273.15+C21)</f>
        <v>59.302939596192566</v>
      </c>
      <c r="L21" s="107">
        <f>(((J21*1000/60)*(D21/101325)*273.15/(273.15+C21))+ 37.091)/1.0814*60/1000</f>
        <v>13.963422101966312</v>
      </c>
      <c r="M21" s="104">
        <v>59.6</v>
      </c>
      <c r="N21" s="104">
        <v>14.9</v>
      </c>
      <c r="O21" s="107">
        <f>(M21)*1.101*(101325/D21)*(273.15+C21)/273.15</f>
        <v>71.355653342211099</v>
      </c>
      <c r="P21" s="107">
        <f>(((N21*1000/60)*1.0814-37.091)*101325/D21*(C21+273.15)/273.15)*60/1000</f>
        <v>15.10134929540293</v>
      </c>
      <c r="Q21" s="107">
        <f>SUM(O21:P21)</f>
        <v>86.457002637614025</v>
      </c>
      <c r="R21" s="107">
        <f>Q21*1000/60</f>
        <v>1440.9500439602339</v>
      </c>
      <c r="S21" s="107">
        <f>R21/100</f>
        <v>14.409500439602338</v>
      </c>
      <c r="T21" s="107">
        <f>S21/60</f>
        <v>0.24015834066003897</v>
      </c>
      <c r="U21" s="107">
        <f>100*P21/SUM(O21:P21)</f>
        <v>17.466889707824464</v>
      </c>
      <c r="V21" s="104">
        <v>16.75</v>
      </c>
      <c r="W21" s="104">
        <v>16.71</v>
      </c>
      <c r="X21" s="104">
        <v>16.809999999999999</v>
      </c>
      <c r="Y21" s="104">
        <v>16.78</v>
      </c>
      <c r="Z21" s="107">
        <f>166.74 + ((165.46 - 166.74)/(300-6))* (Q21-6)</f>
        <v>166.38971100892468</v>
      </c>
      <c r="AA21" s="107">
        <f>1/((Z21*Q21)/3600)</f>
        <v>0.25025102117615905</v>
      </c>
      <c r="AB21" s="107">
        <f>AA21*AC21</f>
        <v>150.15061270569544</v>
      </c>
      <c r="AC21" s="108">
        <v>600</v>
      </c>
      <c r="AD21" s="108">
        <v>146.59</v>
      </c>
      <c r="AE21" s="108">
        <v>137.4</v>
      </c>
      <c r="AF21" s="97">
        <v>90</v>
      </c>
      <c r="AG21" s="98">
        <v>8000</v>
      </c>
      <c r="AH21" s="99">
        <v>9.4</v>
      </c>
      <c r="AI21" s="100">
        <f>AH21*$O$21/(100-AH21)</f>
        <v>7.4033459317525878</v>
      </c>
      <c r="AJ21" s="100">
        <f>AI21+$O$21</f>
        <v>78.758999273963681</v>
      </c>
      <c r="AK21" s="100">
        <f t="shared" si="0"/>
        <v>166.42322612560997</v>
      </c>
      <c r="AL21" s="100">
        <f t="shared" si="1"/>
        <v>0.27465554722736585</v>
      </c>
      <c r="AM21" s="100">
        <f t="shared" si="2"/>
        <v>109.86221889094634</v>
      </c>
      <c r="AN21" s="98">
        <v>400</v>
      </c>
      <c r="AO21" s="101">
        <v>106.9</v>
      </c>
    </row>
    <row r="22" spans="1:41" x14ac:dyDescent="0.25">
      <c r="B22" s="5"/>
      <c r="C22" s="104"/>
      <c r="D22" s="104"/>
      <c r="E22" s="104"/>
      <c r="F22" s="104"/>
      <c r="G22" s="105"/>
      <c r="H22" s="105"/>
      <c r="I22" s="106"/>
      <c r="J22" s="106"/>
      <c r="K22" s="107"/>
      <c r="L22" s="107"/>
      <c r="M22" s="104"/>
      <c r="N22" s="104"/>
      <c r="O22" s="107"/>
      <c r="P22" s="107"/>
      <c r="Q22" s="107"/>
      <c r="R22" s="107"/>
      <c r="S22" s="107"/>
      <c r="T22" s="107"/>
      <c r="U22" s="107"/>
      <c r="V22" s="104"/>
      <c r="W22" s="104"/>
      <c r="X22" s="104"/>
      <c r="Y22" s="104"/>
      <c r="Z22" s="107"/>
      <c r="AA22" s="107"/>
      <c r="AB22" s="107"/>
      <c r="AC22" s="108"/>
      <c r="AD22" s="108"/>
      <c r="AE22" s="108"/>
      <c r="AF22" s="89">
        <v>70</v>
      </c>
      <c r="AG22" s="90">
        <v>7000</v>
      </c>
      <c r="AH22" s="91">
        <v>10.34</v>
      </c>
      <c r="AI22" s="92">
        <f>AH22*$O$21/(100-AH22)</f>
        <v>8.2290592857290061</v>
      </c>
      <c r="AJ22" s="92">
        <f>AI22+$O$21</f>
        <v>79.584712627940107</v>
      </c>
      <c r="AK22" s="92">
        <f t="shared" si="0"/>
        <v>166.41963118311645</v>
      </c>
      <c r="AL22" s="92">
        <f t="shared" si="1"/>
        <v>0.27181179159959884</v>
      </c>
      <c r="AM22" s="92">
        <f t="shared" si="2"/>
        <v>108.72471663983954</v>
      </c>
      <c r="AN22" s="90">
        <v>400</v>
      </c>
      <c r="AO22" s="93">
        <v>103.3</v>
      </c>
    </row>
    <row r="23" spans="1:41" x14ac:dyDescent="0.25">
      <c r="B23" s="5"/>
      <c r="C23" s="104"/>
      <c r="D23" s="104"/>
      <c r="E23" s="104"/>
      <c r="F23" s="104"/>
      <c r="G23" s="105"/>
      <c r="H23" s="105"/>
      <c r="I23" s="106"/>
      <c r="J23" s="106"/>
      <c r="K23" s="107"/>
      <c r="L23" s="107"/>
      <c r="M23" s="104"/>
      <c r="N23" s="104"/>
      <c r="O23" s="107"/>
      <c r="P23" s="107"/>
      <c r="Q23" s="107"/>
      <c r="R23" s="107"/>
      <c r="S23" s="107"/>
      <c r="T23" s="107"/>
      <c r="U23" s="107"/>
      <c r="V23" s="104"/>
      <c r="W23" s="104"/>
      <c r="X23" s="104"/>
      <c r="Y23" s="104"/>
      <c r="Z23" s="107"/>
      <c r="AA23" s="107"/>
      <c r="AB23" s="107"/>
      <c r="AC23" s="108"/>
      <c r="AD23" s="108"/>
      <c r="AE23" s="108"/>
      <c r="AF23" s="89">
        <v>60</v>
      </c>
      <c r="AG23" s="90">
        <v>7000</v>
      </c>
      <c r="AH23" s="91">
        <v>10.95</v>
      </c>
      <c r="AI23" s="92">
        <f>AH23*$O$21/(100-AH23)</f>
        <v>8.7742212700416786</v>
      </c>
      <c r="AJ23" s="92">
        <f>AI23+$O$21</f>
        <v>80.129874612252777</v>
      </c>
      <c r="AK23" s="92">
        <f t="shared" si="0"/>
        <v>166.41725768876299</v>
      </c>
      <c r="AL23" s="92">
        <f t="shared" si="1"/>
        <v>0.26996637585157768</v>
      </c>
      <c r="AM23" s="92">
        <f t="shared" si="2"/>
        <v>107.98655034063107</v>
      </c>
      <c r="AN23" s="90">
        <v>400</v>
      </c>
      <c r="AO23" s="93">
        <v>106.3</v>
      </c>
    </row>
    <row r="24" spans="1:41" x14ac:dyDescent="0.25">
      <c r="B24" s="5"/>
      <c r="C24" s="104"/>
      <c r="D24" s="104"/>
      <c r="E24" s="104"/>
      <c r="F24" s="104"/>
      <c r="G24" s="105"/>
      <c r="H24" s="105"/>
      <c r="I24" s="106"/>
      <c r="J24" s="106"/>
      <c r="K24" s="107"/>
      <c r="L24" s="107"/>
      <c r="M24" s="104"/>
      <c r="N24" s="104"/>
      <c r="O24" s="107"/>
      <c r="P24" s="107"/>
      <c r="Q24" s="107"/>
      <c r="R24" s="107"/>
      <c r="S24" s="107"/>
      <c r="T24" s="107"/>
      <c r="U24" s="107"/>
      <c r="V24" s="104"/>
      <c r="W24" s="104"/>
      <c r="X24" s="104"/>
      <c r="Y24" s="104"/>
      <c r="Z24" s="107"/>
      <c r="AA24" s="107"/>
      <c r="AB24" s="107"/>
      <c r="AC24" s="108"/>
      <c r="AD24" s="108"/>
      <c r="AE24" s="108"/>
      <c r="AF24" s="89">
        <v>40</v>
      </c>
      <c r="AG24" s="90">
        <v>7000</v>
      </c>
      <c r="AH24" s="91">
        <v>12.3</v>
      </c>
      <c r="AI24" s="92">
        <f>AH24*$O$21/(100-AH24)</f>
        <v>10.007691403753666</v>
      </c>
      <c r="AJ24" s="92">
        <f>AI24+$O$21</f>
        <v>81.363344745964767</v>
      </c>
      <c r="AK24" s="92">
        <f t="shared" si="0"/>
        <v>166.41188747865704</v>
      </c>
      <c r="AL24" s="92">
        <f t="shared" si="1"/>
        <v>0.26588225943141952</v>
      </c>
      <c r="AM24" s="92">
        <f t="shared" si="2"/>
        <v>106.35290377256781</v>
      </c>
      <c r="AN24" s="90">
        <v>400</v>
      </c>
      <c r="AO24" s="93">
        <v>104</v>
      </c>
    </row>
    <row r="25" spans="1:41" x14ac:dyDescent="0.25">
      <c r="B25" s="5"/>
      <c r="C25" s="104"/>
      <c r="D25" s="104"/>
      <c r="E25" s="104"/>
      <c r="F25" s="104"/>
      <c r="G25" s="105"/>
      <c r="H25" s="105"/>
      <c r="I25" s="106"/>
      <c r="J25" s="106"/>
      <c r="K25" s="107"/>
      <c r="L25" s="107"/>
      <c r="M25" s="104"/>
      <c r="N25" s="104"/>
      <c r="O25" s="107"/>
      <c r="P25" s="107"/>
      <c r="Q25" s="107"/>
      <c r="R25" s="107"/>
      <c r="S25" s="107"/>
      <c r="T25" s="107"/>
      <c r="U25" s="107"/>
      <c r="V25" s="104"/>
      <c r="W25" s="104"/>
      <c r="X25" s="104"/>
      <c r="Y25" s="104"/>
      <c r="Z25" s="107"/>
      <c r="AA25" s="107"/>
      <c r="AB25" s="107"/>
      <c r="AC25" s="108"/>
      <c r="AD25" s="108"/>
      <c r="AE25" s="108"/>
      <c r="AF25" s="94">
        <v>20</v>
      </c>
      <c r="AG25" s="87">
        <v>5000</v>
      </c>
      <c r="AH25" s="95">
        <v>14.15</v>
      </c>
      <c r="AI25" s="88">
        <f>AH25*$O$21/(100-AH25)</f>
        <v>11.761007510684767</v>
      </c>
      <c r="AJ25" s="88">
        <f>AI25+$O$21</f>
        <v>83.116660852895862</v>
      </c>
      <c r="AK25" s="88">
        <f t="shared" si="0"/>
        <v>166.40425399356565</v>
      </c>
      <c r="AL25" s="88">
        <f t="shared" si="1"/>
        <v>0.26028550823303864</v>
      </c>
      <c r="AM25" s="88">
        <f t="shared" si="2"/>
        <v>104.11420329321545</v>
      </c>
      <c r="AN25" s="87">
        <v>400</v>
      </c>
      <c r="AO25" s="96">
        <v>96.8</v>
      </c>
    </row>
    <row r="26" spans="1:41" x14ac:dyDescent="0.25">
      <c r="B26" s="5"/>
      <c r="C26" s="104">
        <v>22.8</v>
      </c>
      <c r="D26" s="104">
        <v>100280</v>
      </c>
      <c r="E26" s="104">
        <v>22.6</v>
      </c>
      <c r="F26" s="104">
        <v>100130</v>
      </c>
      <c r="G26" s="109">
        <v>80</v>
      </c>
      <c r="H26" s="109">
        <v>20</v>
      </c>
      <c r="I26" s="107">
        <f>(G26)*1.101*($C$5/101325)*273.15/(273.15+$C$4)</f>
        <v>80.424710011699815</v>
      </c>
      <c r="J26" s="107">
        <f>(((H26*1000/60)*1.0814*$C$5/101325*273.15/($C$4+273.15))-37.091)*60/1000</f>
        <v>17.522787367541365</v>
      </c>
      <c r="K26" s="107">
        <f>(I26)/1.101*(D26/101325)*273.15/(273.15+C26)</f>
        <v>66.724105148330736</v>
      </c>
      <c r="L26" s="107">
        <f>(((J26*1000/60)*(D26/101325)*273.15/(273.15+C26))+ 37.091)/1.0814*60/1000</f>
        <v>16.859159497462919</v>
      </c>
      <c r="M26" s="104">
        <v>66.7</v>
      </c>
      <c r="N26" s="104">
        <v>16.899999999999999</v>
      </c>
      <c r="O26" s="107">
        <f>(M26)*1.101*(101325/D26)*(273.15+C26)/273.15</f>
        <v>80.395655301112399</v>
      </c>
      <c r="P26" s="107">
        <f>(((N26*1000/60)*1.0814-37.091)*101325/D26*(C26+273.15)/273.15)*60/1000</f>
        <v>17.571137411048078</v>
      </c>
      <c r="Q26" s="107">
        <f>SUM(O26:P26)</f>
        <v>97.966792712160469</v>
      </c>
      <c r="R26" s="107">
        <f>Q26*1000/60</f>
        <v>1632.7798785360078</v>
      </c>
      <c r="S26" s="107">
        <f>R26/100</f>
        <v>16.327798785360077</v>
      </c>
      <c r="T26" s="107">
        <f>S26/60</f>
        <v>0.27212997975600128</v>
      </c>
      <c r="U26" s="107">
        <f>100*P26/SUM(O26:P26)</f>
        <v>17.935809598946889</v>
      </c>
      <c r="V26" s="104">
        <v>18.260000000000002</v>
      </c>
      <c r="W26" s="104">
        <v>18.059999999999999</v>
      </c>
      <c r="X26" s="104">
        <v>18.48</v>
      </c>
      <c r="Y26" s="104">
        <v>18.36</v>
      </c>
      <c r="Z26" s="107">
        <f>166.74 + ((165.46 - 166.74)/(300-6))* (Q26-6)</f>
        <v>166.33960035825999</v>
      </c>
      <c r="AA26" s="107">
        <f>1/((Z26*Q26)/3600)</f>
        <v>0.22091639972770721</v>
      </c>
      <c r="AB26" s="107">
        <f>AA26*AC26</f>
        <v>132.54983983662433</v>
      </c>
      <c r="AC26" s="108">
        <v>600</v>
      </c>
      <c r="AD26" s="108">
        <v>131</v>
      </c>
      <c r="AE26" s="108">
        <v>129.9</v>
      </c>
      <c r="AF26" s="97">
        <v>90</v>
      </c>
      <c r="AG26" s="98">
        <v>9000</v>
      </c>
      <c r="AH26" s="99">
        <v>10.8</v>
      </c>
      <c r="AI26" s="100">
        <f>AH26*$O$26/(100-AH26)</f>
        <v>9.7340031082064353</v>
      </c>
      <c r="AJ26" s="100">
        <f>AI26+$O$26</f>
        <v>90.129658409318836</v>
      </c>
      <c r="AK26" s="100">
        <f t="shared" si="0"/>
        <v>166.37372121508869</v>
      </c>
      <c r="AL26" s="100">
        <f t="shared" si="1"/>
        <v>0.24007671793321769</v>
      </c>
      <c r="AM26" s="100">
        <f t="shared" si="2"/>
        <v>120.03835896660884</v>
      </c>
      <c r="AN26" s="98">
        <v>500</v>
      </c>
      <c r="AO26" s="101">
        <v>118.3</v>
      </c>
    </row>
    <row r="27" spans="1:41" x14ac:dyDescent="0.25">
      <c r="B27" s="5"/>
      <c r="C27" s="104"/>
      <c r="D27" s="104"/>
      <c r="E27" s="104"/>
      <c r="F27" s="104"/>
      <c r="G27" s="109"/>
      <c r="H27" s="109"/>
      <c r="I27" s="107"/>
      <c r="J27" s="107"/>
      <c r="K27" s="107"/>
      <c r="L27" s="107"/>
      <c r="M27" s="104"/>
      <c r="N27" s="104"/>
      <c r="O27" s="107"/>
      <c r="P27" s="107"/>
      <c r="Q27" s="107"/>
      <c r="R27" s="107"/>
      <c r="S27" s="107"/>
      <c r="T27" s="107"/>
      <c r="U27" s="107"/>
      <c r="V27" s="104"/>
      <c r="W27" s="104"/>
      <c r="X27" s="104"/>
      <c r="Y27" s="104"/>
      <c r="Z27" s="107"/>
      <c r="AA27" s="107"/>
      <c r="AB27" s="107"/>
      <c r="AC27" s="108"/>
      <c r="AD27" s="108"/>
      <c r="AE27" s="108"/>
      <c r="AF27" s="89">
        <v>70</v>
      </c>
      <c r="AG27" s="90">
        <v>8000</v>
      </c>
      <c r="AH27" s="91">
        <v>11.72</v>
      </c>
      <c r="AI27" s="92">
        <f>AH27*$O$26/(100-AH27)</f>
        <v>10.673279113378312</v>
      </c>
      <c r="AJ27" s="92">
        <f>AI27+$O$26</f>
        <v>91.068934414490712</v>
      </c>
      <c r="AK27" s="92">
        <f t="shared" si="0"/>
        <v>166.36963185016822</v>
      </c>
      <c r="AL27" s="92">
        <f t="shared" si="1"/>
        <v>0.23760643057076361</v>
      </c>
      <c r="AM27" s="92">
        <f t="shared" si="2"/>
        <v>118.80321528538181</v>
      </c>
      <c r="AN27" s="90">
        <v>500</v>
      </c>
      <c r="AO27" s="93">
        <v>113.8</v>
      </c>
    </row>
    <row r="28" spans="1:41" x14ac:dyDescent="0.25">
      <c r="B28" s="5"/>
      <c r="C28" s="104"/>
      <c r="D28" s="104"/>
      <c r="E28" s="104"/>
      <c r="F28" s="104"/>
      <c r="G28" s="109"/>
      <c r="H28" s="109"/>
      <c r="I28" s="107"/>
      <c r="J28" s="107"/>
      <c r="K28" s="107"/>
      <c r="L28" s="107"/>
      <c r="M28" s="104"/>
      <c r="N28" s="104"/>
      <c r="O28" s="107"/>
      <c r="P28" s="107"/>
      <c r="Q28" s="107"/>
      <c r="R28" s="107"/>
      <c r="S28" s="107"/>
      <c r="T28" s="107"/>
      <c r="U28" s="107"/>
      <c r="V28" s="104"/>
      <c r="W28" s="104"/>
      <c r="X28" s="104"/>
      <c r="Y28" s="104"/>
      <c r="Z28" s="107"/>
      <c r="AA28" s="107"/>
      <c r="AB28" s="107"/>
      <c r="AC28" s="108"/>
      <c r="AD28" s="108"/>
      <c r="AE28" s="108"/>
      <c r="AF28" s="89">
        <v>60</v>
      </c>
      <c r="AG28" s="90">
        <v>8000</v>
      </c>
      <c r="AH28" s="91">
        <v>12.3</v>
      </c>
      <c r="AI28" s="92">
        <f>AH28*$O$26/(100-AH28)</f>
        <v>11.275559409392047</v>
      </c>
      <c r="AJ28" s="92">
        <f>AI28+$O$26</f>
        <v>91.671214710504444</v>
      </c>
      <c r="AK28" s="92">
        <f t="shared" si="0"/>
        <v>166.36700967745088</v>
      </c>
      <c r="AL28" s="92">
        <f t="shared" si="1"/>
        <v>0.23604907564451524</v>
      </c>
      <c r="AM28" s="92">
        <f t="shared" si="2"/>
        <v>118.02453782225763</v>
      </c>
      <c r="AN28" s="90">
        <v>500</v>
      </c>
      <c r="AO28" s="93">
        <v>111.8</v>
      </c>
    </row>
    <row r="29" spans="1:41" x14ac:dyDescent="0.25">
      <c r="B29" s="5"/>
      <c r="C29" s="104"/>
      <c r="D29" s="104"/>
      <c r="E29" s="104"/>
      <c r="F29" s="104"/>
      <c r="G29" s="109"/>
      <c r="H29" s="109"/>
      <c r="I29" s="107"/>
      <c r="J29" s="107"/>
      <c r="K29" s="107"/>
      <c r="L29" s="107"/>
      <c r="M29" s="104"/>
      <c r="N29" s="104"/>
      <c r="O29" s="107"/>
      <c r="P29" s="107"/>
      <c r="Q29" s="107"/>
      <c r="R29" s="107"/>
      <c r="S29" s="107"/>
      <c r="T29" s="107"/>
      <c r="U29" s="107"/>
      <c r="V29" s="104"/>
      <c r="W29" s="104"/>
      <c r="X29" s="104"/>
      <c r="Y29" s="104"/>
      <c r="Z29" s="107"/>
      <c r="AA29" s="107"/>
      <c r="AB29" s="107"/>
      <c r="AC29" s="108"/>
      <c r="AD29" s="108"/>
      <c r="AE29" s="108"/>
      <c r="AF29" s="89">
        <v>40</v>
      </c>
      <c r="AG29" s="90">
        <v>7000</v>
      </c>
      <c r="AH29" s="91">
        <v>13.86</v>
      </c>
      <c r="AI29" s="92">
        <f>AH29*$O$26/(100-AH29)</f>
        <v>12.935730003174111</v>
      </c>
      <c r="AJ29" s="92">
        <f>AI29+$O$26</f>
        <v>93.331385304286513</v>
      </c>
      <c r="AK29" s="92">
        <f t="shared" si="0"/>
        <v>166.35978172384529</v>
      </c>
      <c r="AL29" s="92">
        <f t="shared" si="1"/>
        <v>0.23186032850825369</v>
      </c>
      <c r="AM29" s="92">
        <f t="shared" si="2"/>
        <v>115.93016425412685</v>
      </c>
      <c r="AN29" s="90">
        <v>500</v>
      </c>
      <c r="AO29" s="93">
        <v>110.3</v>
      </c>
    </row>
    <row r="30" spans="1:41" x14ac:dyDescent="0.25">
      <c r="B30" s="5"/>
      <c r="C30" s="104"/>
      <c r="D30" s="104"/>
      <c r="E30" s="104"/>
      <c r="F30" s="104"/>
      <c r="G30" s="109"/>
      <c r="H30" s="109"/>
      <c r="I30" s="107"/>
      <c r="J30" s="107"/>
      <c r="K30" s="107"/>
      <c r="L30" s="107"/>
      <c r="M30" s="104"/>
      <c r="N30" s="104"/>
      <c r="O30" s="107"/>
      <c r="P30" s="107"/>
      <c r="Q30" s="107"/>
      <c r="R30" s="107"/>
      <c r="S30" s="107"/>
      <c r="T30" s="107"/>
      <c r="U30" s="107"/>
      <c r="V30" s="104"/>
      <c r="W30" s="104"/>
      <c r="X30" s="104"/>
      <c r="Y30" s="104"/>
      <c r="Z30" s="107"/>
      <c r="AA30" s="107"/>
      <c r="AB30" s="107"/>
      <c r="AC30" s="108"/>
      <c r="AD30" s="108"/>
      <c r="AE30" s="108"/>
      <c r="AF30" s="94">
        <v>20</v>
      </c>
      <c r="AG30" s="87">
        <v>6000</v>
      </c>
      <c r="AH30" s="95">
        <v>15.58</v>
      </c>
      <c r="AI30" s="88">
        <f>AH30*$O$26/(100-AH30)</f>
        <v>14.837293409042067</v>
      </c>
      <c r="AJ30" s="88">
        <f>AI30+$O$26</f>
        <v>95.23294871015446</v>
      </c>
      <c r="AK30" s="88">
        <f t="shared" si="0"/>
        <v>166.35150280833676</v>
      </c>
      <c r="AL30" s="88">
        <f t="shared" si="1"/>
        <v>0.22724196733516616</v>
      </c>
      <c r="AM30" s="88">
        <f t="shared" si="2"/>
        <v>113.62098366758308</v>
      </c>
      <c r="AN30" s="87">
        <v>500</v>
      </c>
      <c r="AO30" s="96">
        <v>109.9</v>
      </c>
    </row>
    <row r="31" spans="1:41" x14ac:dyDescent="0.25">
      <c r="A31" s="86">
        <v>46093</v>
      </c>
      <c r="B31" s="5"/>
      <c r="C31" s="104">
        <v>22.9</v>
      </c>
      <c r="D31" s="104">
        <v>100950</v>
      </c>
      <c r="E31" s="104">
        <v>23.7</v>
      </c>
      <c r="F31" s="104">
        <v>100980</v>
      </c>
      <c r="G31" s="109">
        <v>60</v>
      </c>
      <c r="H31" s="109">
        <v>15</v>
      </c>
      <c r="I31" s="107">
        <f>(G31)*1.101*($C$5/101325)*273.15/(273.15+$C$4)</f>
        <v>60.318532508774872</v>
      </c>
      <c r="J31" s="107">
        <f>(((H31*1000/60)*1.0814*$C$5/101325*273.15/($C$4+273.15))-37.091)*60/1000</f>
        <v>12.58572552565602</v>
      </c>
      <c r="K31" s="107">
        <f>(I31)/1.101*(D21/101325)*273.15/(273.15+C21)</f>
        <v>50.38121535068808</v>
      </c>
      <c r="L31" s="107">
        <f>(((J31*1000/60)*(D21/101325)*273.15/(273.15+C21))+ 37.091)/1.0814*60/1000</f>
        <v>12.760735343140006</v>
      </c>
      <c r="M31" s="104">
        <v>50.4</v>
      </c>
      <c r="N31" s="104">
        <v>12.8</v>
      </c>
      <c r="O31" s="107">
        <f>(M31)*1.101*(101325/D31)*(273.15+C31)/273.15</f>
        <v>60.365945198048514</v>
      </c>
      <c r="P31" s="107">
        <f>(((N31*1000/60)*1.0814-37.091)*101325/D31*(C31+273.15)/273.15)*60/1000</f>
        <v>12.637115388523469</v>
      </c>
      <c r="Q31" s="107">
        <f>SUM(O31:P31)</f>
        <v>73.003060586571991</v>
      </c>
      <c r="R31" s="107">
        <f>Q31*1000/60</f>
        <v>1216.7176764428664</v>
      </c>
      <c r="S31" s="107">
        <f>R31/100</f>
        <v>12.167176764428664</v>
      </c>
      <c r="T31" s="107">
        <f>S31/60</f>
        <v>0.20278627940714439</v>
      </c>
      <c r="U31" s="107">
        <f>100*P31/SUM(O31:P31)</f>
        <v>17.310391217827803</v>
      </c>
      <c r="V31" s="104">
        <v>17.8</v>
      </c>
      <c r="W31" s="104">
        <v>17.72</v>
      </c>
      <c r="X31" s="104">
        <v>17.899999999999999</v>
      </c>
      <c r="Y31" s="104">
        <v>18.2</v>
      </c>
      <c r="Z31" s="107">
        <f>166.74 + ((165.46 - 166.74)/(300-6))* (Q31-6)</f>
        <v>166.44828599472513</v>
      </c>
      <c r="AA31" s="107">
        <f>1/((Z31*Q31)/3600)</f>
        <v>0.29626619889347022</v>
      </c>
      <c r="AB31" s="107">
        <f>AA31*AC31</f>
        <v>148.13309944673512</v>
      </c>
      <c r="AC31" s="108">
        <v>500</v>
      </c>
      <c r="AD31" s="108">
        <v>147.4</v>
      </c>
      <c r="AE31" s="108">
        <v>147</v>
      </c>
      <c r="AF31" s="97">
        <v>90</v>
      </c>
      <c r="AG31" s="98">
        <v>6000</v>
      </c>
      <c r="AH31" s="99">
        <v>9.1999999999999993</v>
      </c>
      <c r="AI31" s="100">
        <f t="shared" ref="AI31:AI40" si="3">AH31*$O$31/(100-AH31)</f>
        <v>6.1163733020049147</v>
      </c>
      <c r="AJ31" s="100">
        <f>AI31+$O$31</f>
        <v>66.482318500053424</v>
      </c>
      <c r="AK31" s="100">
        <f t="shared" si="0"/>
        <v>166.47667562013584</v>
      </c>
      <c r="AL31" s="100">
        <f t="shared" si="1"/>
        <v>0.3252692058319353</v>
      </c>
      <c r="AM31" s="100">
        <f t="shared" si="2"/>
        <v>162.63460291596766</v>
      </c>
      <c r="AN31" s="98">
        <v>500</v>
      </c>
      <c r="AO31" s="101">
        <v>161.30000000000001</v>
      </c>
    </row>
    <row r="32" spans="1:41" x14ac:dyDescent="0.25">
      <c r="B32" s="5"/>
      <c r="C32" s="104"/>
      <c r="D32" s="104"/>
      <c r="E32" s="104"/>
      <c r="F32" s="104"/>
      <c r="G32" s="109"/>
      <c r="H32" s="109"/>
      <c r="I32" s="107"/>
      <c r="J32" s="107"/>
      <c r="K32" s="107"/>
      <c r="L32" s="107"/>
      <c r="M32" s="104"/>
      <c r="N32" s="104"/>
      <c r="O32" s="107"/>
      <c r="P32" s="107"/>
      <c r="Q32" s="107"/>
      <c r="R32" s="107"/>
      <c r="S32" s="107"/>
      <c r="T32" s="107"/>
      <c r="U32" s="107"/>
      <c r="V32" s="104"/>
      <c r="W32" s="104"/>
      <c r="X32" s="104"/>
      <c r="Y32" s="104"/>
      <c r="Z32" s="107"/>
      <c r="AA32" s="107"/>
      <c r="AB32" s="107"/>
      <c r="AC32" s="108"/>
      <c r="AD32" s="108"/>
      <c r="AE32" s="108"/>
      <c r="AF32" s="89">
        <v>70</v>
      </c>
      <c r="AG32" s="90">
        <v>5000</v>
      </c>
      <c r="AH32" s="91">
        <v>10.15</v>
      </c>
      <c r="AI32" s="92">
        <f t="shared" si="3"/>
        <v>6.8193026573198949</v>
      </c>
      <c r="AJ32" s="92">
        <f>AI32+$O$31</f>
        <v>67.185247855368402</v>
      </c>
      <c r="AK32" s="92">
        <f t="shared" si="0"/>
        <v>166.47361524743241</v>
      </c>
      <c r="AL32" s="92">
        <f t="shared" si="1"/>
        <v>0.32187197588897415</v>
      </c>
      <c r="AM32" s="92">
        <f t="shared" si="2"/>
        <v>160.93598794448707</v>
      </c>
      <c r="AN32" s="90">
        <v>500</v>
      </c>
      <c r="AO32" s="93">
        <v>159.6</v>
      </c>
    </row>
    <row r="33" spans="1:55" x14ac:dyDescent="0.25">
      <c r="B33" s="5"/>
      <c r="C33" s="104"/>
      <c r="D33" s="104"/>
      <c r="E33" s="104"/>
      <c r="F33" s="104"/>
      <c r="G33" s="109"/>
      <c r="H33" s="109"/>
      <c r="I33" s="107"/>
      <c r="J33" s="107"/>
      <c r="K33" s="107"/>
      <c r="L33" s="107"/>
      <c r="M33" s="104"/>
      <c r="N33" s="104"/>
      <c r="O33" s="107"/>
      <c r="P33" s="107"/>
      <c r="Q33" s="107"/>
      <c r="R33" s="107"/>
      <c r="S33" s="107"/>
      <c r="T33" s="107"/>
      <c r="U33" s="107"/>
      <c r="V33" s="104"/>
      <c r="W33" s="104"/>
      <c r="X33" s="104"/>
      <c r="Y33" s="104"/>
      <c r="Z33" s="107"/>
      <c r="AA33" s="107"/>
      <c r="AB33" s="107"/>
      <c r="AC33" s="108"/>
      <c r="AD33" s="108"/>
      <c r="AE33" s="108"/>
      <c r="AF33" s="89">
        <v>60</v>
      </c>
      <c r="AG33" s="90">
        <v>5000</v>
      </c>
      <c r="AH33" s="91">
        <v>10.9</v>
      </c>
      <c r="AI33" s="92">
        <f t="shared" si="3"/>
        <v>7.3848350466748469</v>
      </c>
      <c r="AJ33" s="92">
        <f>AI33+$O$31</f>
        <v>67.750780244723359</v>
      </c>
      <c r="AK33" s="92">
        <f t="shared" si="0"/>
        <v>166.47115306560121</v>
      </c>
      <c r="AL33" s="92">
        <f t="shared" si="1"/>
        <v>0.31918995240640102</v>
      </c>
      <c r="AM33" s="92">
        <f t="shared" si="2"/>
        <v>159.5949762032005</v>
      </c>
      <c r="AN33" s="90">
        <v>500</v>
      </c>
      <c r="AO33" s="93">
        <v>160.1</v>
      </c>
    </row>
    <row r="34" spans="1:55" x14ac:dyDescent="0.25">
      <c r="B34" s="5"/>
      <c r="C34" s="104"/>
      <c r="D34" s="104"/>
      <c r="E34" s="104"/>
      <c r="F34" s="104"/>
      <c r="G34" s="109"/>
      <c r="H34" s="109"/>
      <c r="I34" s="107"/>
      <c r="J34" s="107"/>
      <c r="K34" s="107"/>
      <c r="L34" s="107"/>
      <c r="M34" s="104"/>
      <c r="N34" s="104"/>
      <c r="O34" s="107"/>
      <c r="P34" s="107"/>
      <c r="Q34" s="107"/>
      <c r="R34" s="107"/>
      <c r="S34" s="107"/>
      <c r="T34" s="107"/>
      <c r="U34" s="107"/>
      <c r="V34" s="104"/>
      <c r="W34" s="104"/>
      <c r="X34" s="104"/>
      <c r="Y34" s="104"/>
      <c r="Z34" s="107"/>
      <c r="AA34" s="107"/>
      <c r="AB34" s="107"/>
      <c r="AC34" s="108"/>
      <c r="AD34" s="108"/>
      <c r="AE34" s="108"/>
      <c r="AF34" s="89">
        <v>40</v>
      </c>
      <c r="AG34" s="90">
        <v>5000</v>
      </c>
      <c r="AH34" s="91">
        <v>12.64</v>
      </c>
      <c r="AI34" s="92">
        <f t="shared" si="3"/>
        <v>8.734266796054639</v>
      </c>
      <c r="AJ34" s="92">
        <f>AI34+$O$31</f>
        <v>69.100211994103148</v>
      </c>
      <c r="AK34" s="92">
        <f t="shared" si="0"/>
        <v>166.46527798859711</v>
      </c>
      <c r="AL34" s="92">
        <f t="shared" si="1"/>
        <v>0.31296765847999286</v>
      </c>
      <c r="AM34" s="92">
        <f t="shared" si="2"/>
        <v>156.48382923999642</v>
      </c>
      <c r="AN34" s="90">
        <v>500</v>
      </c>
      <c r="AO34" s="93">
        <v>155.4</v>
      </c>
    </row>
    <row r="35" spans="1:55" x14ac:dyDescent="0.25">
      <c r="B35" s="5"/>
      <c r="C35" s="104"/>
      <c r="D35" s="104"/>
      <c r="E35" s="104"/>
      <c r="F35" s="104"/>
      <c r="G35" s="109"/>
      <c r="H35" s="109"/>
      <c r="I35" s="107"/>
      <c r="J35" s="107"/>
      <c r="K35" s="107"/>
      <c r="L35" s="107"/>
      <c r="M35" s="104"/>
      <c r="N35" s="104"/>
      <c r="O35" s="107"/>
      <c r="P35" s="107"/>
      <c r="Q35" s="107"/>
      <c r="R35" s="107"/>
      <c r="S35" s="107"/>
      <c r="T35" s="107"/>
      <c r="U35" s="107"/>
      <c r="V35" s="104"/>
      <c r="W35" s="104"/>
      <c r="X35" s="104"/>
      <c r="Y35" s="104"/>
      <c r="Z35" s="107"/>
      <c r="AA35" s="107"/>
      <c r="AB35" s="107"/>
      <c r="AC35" s="108"/>
      <c r="AD35" s="108"/>
      <c r="AE35" s="108"/>
      <c r="AF35" s="94">
        <v>20</v>
      </c>
      <c r="AG35" s="87">
        <v>4000</v>
      </c>
      <c r="AH35" s="95">
        <v>14.75</v>
      </c>
      <c r="AI35" s="88">
        <f t="shared" si="3"/>
        <v>10.44454770288816</v>
      </c>
      <c r="AJ35" s="88">
        <f>AI35+$O$31</f>
        <v>70.81049290093668</v>
      </c>
      <c r="AK35" s="88">
        <f t="shared" si="0"/>
        <v>166.4578318676422</v>
      </c>
      <c r="AL35" s="88">
        <f t="shared" si="1"/>
        <v>0.30542223417970443</v>
      </c>
      <c r="AM35" s="88">
        <f t="shared" si="2"/>
        <v>152.71111708985222</v>
      </c>
      <c r="AN35" s="87">
        <v>500</v>
      </c>
      <c r="AO35" s="96">
        <v>146.9</v>
      </c>
    </row>
    <row r="36" spans="1:55" x14ac:dyDescent="0.25">
      <c r="A36" s="86">
        <v>46094</v>
      </c>
      <c r="B36" s="5"/>
      <c r="C36" s="104">
        <v>21.3</v>
      </c>
      <c r="D36" s="104">
        <v>100030</v>
      </c>
      <c r="E36" s="104">
        <v>21.9</v>
      </c>
      <c r="F36" s="104">
        <v>99780</v>
      </c>
      <c r="G36" s="109" t="s">
        <v>563</v>
      </c>
      <c r="H36" s="109" t="s">
        <v>563</v>
      </c>
      <c r="I36" s="107">
        <v>20.16</v>
      </c>
      <c r="J36" s="107">
        <v>5.04</v>
      </c>
      <c r="K36" s="107">
        <f>(I36)/1.101*(D31/101325)*273.15/(273.15+C31)</f>
        <v>16.831741748870137</v>
      </c>
      <c r="L36" s="107">
        <f>(((J36*1000/60)*(D31/101325)*273.15/(273.15+C31))+ 37.091)/1.0814*60/1000</f>
        <v>6.3421462145149849</v>
      </c>
      <c r="M36" s="104">
        <v>16.8</v>
      </c>
      <c r="N36" s="104">
        <v>6.3</v>
      </c>
      <c r="O36" s="107">
        <f>(M36)*1.101*(101325/D36)*(273.15+C36)/273.15</f>
        <v>20.19729915391116</v>
      </c>
      <c r="P36" s="107">
        <f>(((N36*1000/60)*1.0814-37.091)*101325/D36*(C36+273.15)/273.15)*60/1000</f>
        <v>5.0090979113514713</v>
      </c>
      <c r="Q36" s="107">
        <f>SUM(O36:P36)</f>
        <v>25.206397065262632</v>
      </c>
      <c r="R36" s="107">
        <f>Q36*1000/60</f>
        <v>420.10661775437717</v>
      </c>
      <c r="S36" s="107">
        <f>R36/100</f>
        <v>4.2010661775437717</v>
      </c>
      <c r="T36" s="107">
        <f>S36/60</f>
        <v>7.0017769625729531E-2</v>
      </c>
      <c r="U36" s="107">
        <f>100*P36/SUM(O36:P36)</f>
        <v>19.872328037927307</v>
      </c>
      <c r="V36" s="104">
        <v>20.5</v>
      </c>
      <c r="W36" s="104">
        <v>20.2</v>
      </c>
      <c r="X36" s="104">
        <v>20.6</v>
      </c>
      <c r="Y36" s="104">
        <v>20.2</v>
      </c>
      <c r="Z36" s="107">
        <f>166.74 + ((165.46 - 166.74)/(300-6))* (Q36-6)</f>
        <v>166.65638031209681</v>
      </c>
      <c r="AA36" s="107">
        <f>1/((Z36*Q36)/3600)</f>
        <v>0.85697821620066628</v>
      </c>
      <c r="AB36" s="107">
        <f>AA36*AC36</f>
        <v>171.39564324013327</v>
      </c>
      <c r="AC36" s="108">
        <v>200</v>
      </c>
      <c r="AD36" s="108">
        <v>162.69999999999999</v>
      </c>
      <c r="AE36" s="108">
        <v>165.4</v>
      </c>
      <c r="AF36" s="97">
        <v>92</v>
      </c>
      <c r="AG36" s="98">
        <v>4000</v>
      </c>
      <c r="AH36" s="99">
        <v>5.5</v>
      </c>
      <c r="AI36" s="100">
        <f t="shared" si="3"/>
        <v>3.5133618898335115</v>
      </c>
      <c r="AJ36" s="100">
        <f>AI36+$O$36</f>
        <v>23.710661043744672</v>
      </c>
      <c r="AK36" s="100">
        <f t="shared" si="0"/>
        <v>166.66289236008166</v>
      </c>
      <c r="AL36" s="100">
        <f t="shared" si="1"/>
        <v>0.91100324539072719</v>
      </c>
      <c r="AM36" s="100">
        <f t="shared" si="2"/>
        <v>182.20064907814543</v>
      </c>
      <c r="AN36" s="98">
        <v>200</v>
      </c>
      <c r="AO36" s="101">
        <v>195.3</v>
      </c>
    </row>
    <row r="37" spans="1:55" x14ac:dyDescent="0.25">
      <c r="B37" s="5"/>
      <c r="C37" s="104"/>
      <c r="D37" s="104"/>
      <c r="E37" s="104"/>
      <c r="F37" s="104"/>
      <c r="G37" s="109"/>
      <c r="H37" s="109"/>
      <c r="I37" s="107"/>
      <c r="J37" s="107"/>
      <c r="K37" s="107"/>
      <c r="L37" s="107"/>
      <c r="M37" s="104"/>
      <c r="N37" s="104"/>
      <c r="O37" s="107"/>
      <c r="P37" s="107"/>
      <c r="Q37" s="107"/>
      <c r="R37" s="107"/>
      <c r="S37" s="107"/>
      <c r="T37" s="107"/>
      <c r="U37" s="107"/>
      <c r="V37" s="104"/>
      <c r="W37" s="104"/>
      <c r="X37" s="104"/>
      <c r="Y37" s="104"/>
      <c r="Z37" s="107"/>
      <c r="AA37" s="107"/>
      <c r="AB37" s="107"/>
      <c r="AC37" s="108"/>
      <c r="AD37" s="108"/>
      <c r="AE37" s="108"/>
      <c r="AF37" s="89">
        <v>72</v>
      </c>
      <c r="AG37" s="90">
        <v>3000</v>
      </c>
      <c r="AH37" s="91">
        <v>6.23</v>
      </c>
      <c r="AI37" s="92">
        <f t="shared" si="3"/>
        <v>4.0106626701913433</v>
      </c>
      <c r="AJ37" s="92">
        <f>AI37+$O$36</f>
        <v>24.207961824102505</v>
      </c>
      <c r="AK37" s="92">
        <f t="shared" si="0"/>
        <v>166.66072724103793</v>
      </c>
      <c r="AL37" s="92">
        <f t="shared" si="1"/>
        <v>0.89230022477509918</v>
      </c>
      <c r="AM37" s="92">
        <f t="shared" si="2"/>
        <v>178.46004495501984</v>
      </c>
      <c r="AN37" s="90">
        <v>200</v>
      </c>
      <c r="AO37" s="93">
        <v>194</v>
      </c>
    </row>
    <row r="38" spans="1:55" x14ac:dyDescent="0.25">
      <c r="B38" s="5"/>
      <c r="C38" s="104"/>
      <c r="D38" s="104"/>
      <c r="E38" s="104"/>
      <c r="F38" s="104"/>
      <c r="G38" s="109"/>
      <c r="H38" s="109"/>
      <c r="I38" s="107"/>
      <c r="J38" s="107"/>
      <c r="K38" s="107"/>
      <c r="L38" s="107"/>
      <c r="M38" s="104"/>
      <c r="N38" s="104"/>
      <c r="O38" s="107"/>
      <c r="P38" s="107"/>
      <c r="Q38" s="107"/>
      <c r="R38" s="107"/>
      <c r="S38" s="107"/>
      <c r="T38" s="107"/>
      <c r="U38" s="107"/>
      <c r="V38" s="104"/>
      <c r="W38" s="104"/>
      <c r="X38" s="104"/>
      <c r="Y38" s="104"/>
      <c r="Z38" s="107"/>
      <c r="AA38" s="107"/>
      <c r="AB38" s="107"/>
      <c r="AC38" s="108"/>
      <c r="AD38" s="108"/>
      <c r="AE38" s="108"/>
      <c r="AF38" s="89">
        <v>62</v>
      </c>
      <c r="AG38" s="90">
        <v>3000</v>
      </c>
      <c r="AH38" s="91">
        <v>6.82</v>
      </c>
      <c r="AI38" s="92">
        <f t="shared" si="3"/>
        <v>4.4182844628749827</v>
      </c>
      <c r="AJ38" s="92">
        <f>AI38+$O$36</f>
        <v>24.615583616786143</v>
      </c>
      <c r="AK38" s="92">
        <f t="shared" si="0"/>
        <v>166.65895256112421</v>
      </c>
      <c r="AL38" s="92">
        <f t="shared" si="1"/>
        <v>0.87753352228557413</v>
      </c>
      <c r="AM38" s="92">
        <f t="shared" si="2"/>
        <v>175.50670445711484</v>
      </c>
      <c r="AN38" s="90">
        <v>200</v>
      </c>
      <c r="AO38" s="93">
        <v>195.2</v>
      </c>
    </row>
    <row r="39" spans="1:55" x14ac:dyDescent="0.25">
      <c r="B39" s="5"/>
      <c r="C39" s="104"/>
      <c r="D39" s="104"/>
      <c r="E39" s="104"/>
      <c r="F39" s="104"/>
      <c r="G39" s="109"/>
      <c r="H39" s="109"/>
      <c r="I39" s="107"/>
      <c r="J39" s="107"/>
      <c r="K39" s="107"/>
      <c r="L39" s="107"/>
      <c r="M39" s="104"/>
      <c r="N39" s="104"/>
      <c r="O39" s="107"/>
      <c r="P39" s="107"/>
      <c r="Q39" s="107"/>
      <c r="R39" s="107"/>
      <c r="S39" s="107"/>
      <c r="T39" s="107"/>
      <c r="U39" s="107"/>
      <c r="V39" s="104"/>
      <c r="W39" s="104"/>
      <c r="X39" s="104"/>
      <c r="Y39" s="104"/>
      <c r="Z39" s="107"/>
      <c r="AA39" s="107"/>
      <c r="AB39" s="107"/>
      <c r="AC39" s="108"/>
      <c r="AD39" s="108"/>
      <c r="AE39" s="108"/>
      <c r="AF39" s="89">
        <v>42</v>
      </c>
      <c r="AG39" s="90">
        <v>3000</v>
      </c>
      <c r="AH39" s="91">
        <v>9.1</v>
      </c>
      <c r="AI39" s="92">
        <f t="shared" si="3"/>
        <v>6.043235437868443</v>
      </c>
      <c r="AJ39" s="92">
        <f>AI39+$O$36</f>
        <v>26.240534591779603</v>
      </c>
      <c r="AK39" s="92">
        <f t="shared" si="0"/>
        <v>166.65187794463444</v>
      </c>
      <c r="AL39" s="92">
        <f t="shared" si="1"/>
        <v>0.82322700831040763</v>
      </c>
      <c r="AM39" s="92">
        <f t="shared" si="2"/>
        <v>164.64540166208153</v>
      </c>
      <c r="AN39" s="90">
        <v>200</v>
      </c>
      <c r="AO39" s="93">
        <v>186</v>
      </c>
      <c r="AP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</row>
    <row r="40" spans="1:55" x14ac:dyDescent="0.25">
      <c r="B40" s="5"/>
      <c r="C40" s="104"/>
      <c r="D40" s="104"/>
      <c r="E40" s="104"/>
      <c r="F40" s="104"/>
      <c r="G40" s="109"/>
      <c r="H40" s="109"/>
      <c r="I40" s="107"/>
      <c r="J40" s="107"/>
      <c r="K40" s="107"/>
      <c r="L40" s="107"/>
      <c r="M40" s="104"/>
      <c r="N40" s="104"/>
      <c r="O40" s="107"/>
      <c r="P40" s="107"/>
      <c r="Q40" s="107"/>
      <c r="R40" s="107"/>
      <c r="S40" s="107"/>
      <c r="T40" s="107"/>
      <c r="U40" s="107"/>
      <c r="V40" s="104"/>
      <c r="W40" s="104"/>
      <c r="X40" s="104"/>
      <c r="Y40" s="104"/>
      <c r="Z40" s="107"/>
      <c r="AA40" s="107"/>
      <c r="AB40" s="107"/>
      <c r="AC40" s="108"/>
      <c r="AD40" s="108"/>
      <c r="AE40" s="108"/>
      <c r="AF40" s="94">
        <v>22</v>
      </c>
      <c r="AG40" s="87">
        <v>2000</v>
      </c>
      <c r="AH40" s="95">
        <v>12.3</v>
      </c>
      <c r="AI40" s="88">
        <f t="shared" si="3"/>
        <v>8.4663754382667822</v>
      </c>
      <c r="AJ40" s="88">
        <f>AI40+$O$36</f>
        <v>28.663674592177941</v>
      </c>
      <c r="AK40" s="88">
        <f t="shared" si="0"/>
        <v>166.64132821946262</v>
      </c>
      <c r="AL40" s="88">
        <f t="shared" si="1"/>
        <v>0.75368160814862162</v>
      </c>
      <c r="AM40" s="88">
        <f t="shared" si="2"/>
        <v>150.73632162972433</v>
      </c>
      <c r="AN40" s="87">
        <v>200</v>
      </c>
      <c r="AO40" s="96">
        <v>187</v>
      </c>
      <c r="AP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</row>
    <row r="41" spans="1:55" x14ac:dyDescent="0.25">
      <c r="AP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</row>
    <row r="42" spans="1:55" x14ac:dyDescent="0.25">
      <c r="AP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</row>
    <row r="43" spans="1:55" x14ac:dyDescent="0.25">
      <c r="AP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</row>
    <row r="44" spans="1:55" x14ac:dyDescent="0.25">
      <c r="AP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</row>
    <row r="45" spans="1:55" ht="15" customHeight="1" x14ac:dyDescent="0.25">
      <c r="AP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</row>
    <row r="46" spans="1:55" ht="18" customHeight="1" x14ac:dyDescent="0.25"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</row>
    <row r="47" spans="1:55" x14ac:dyDescent="0.25"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</row>
    <row r="48" spans="1:55" x14ac:dyDescent="0.25"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</row>
    <row r="50" spans="18:59" x14ac:dyDescent="0.25"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</row>
    <row r="51" spans="18:59" ht="15" customHeight="1" x14ac:dyDescent="0.25"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</row>
    <row r="52" spans="18:59" ht="15.75" customHeight="1" x14ac:dyDescent="0.25"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</row>
    <row r="53" spans="18:59" x14ac:dyDescent="0.25"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</row>
    <row r="54" spans="18:59" x14ac:dyDescent="0.25"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</row>
    <row r="55" spans="18:59" x14ac:dyDescent="0.25"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</row>
    <row r="56" spans="18:59" x14ac:dyDescent="0.25">
      <c r="S56" s="15" t="s">
        <v>564</v>
      </c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</row>
    <row r="57" spans="18:59" ht="47.25" customHeight="1" x14ac:dyDescent="0.25">
      <c r="S57" s="110" t="s">
        <v>523</v>
      </c>
      <c r="T57" s="110"/>
      <c r="U57" s="12" t="s">
        <v>527</v>
      </c>
      <c r="V57" s="12"/>
      <c r="W57" s="12" t="s">
        <v>525</v>
      </c>
      <c r="X57" s="12"/>
      <c r="Y57" s="11" t="s">
        <v>533</v>
      </c>
      <c r="Z57" s="11"/>
      <c r="AA57" s="11" t="s">
        <v>534</v>
      </c>
      <c r="AB57" s="11"/>
      <c r="AC57" s="102" t="s">
        <v>565</v>
      </c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</row>
    <row r="58" spans="18:59" ht="31.5" x14ac:dyDescent="0.25">
      <c r="S58" s="82" t="s">
        <v>546</v>
      </c>
      <c r="T58" s="84" t="s">
        <v>547</v>
      </c>
      <c r="U58" s="84" t="s">
        <v>548</v>
      </c>
      <c r="V58" s="84" t="s">
        <v>549</v>
      </c>
      <c r="W58" s="84" t="s">
        <v>548</v>
      </c>
      <c r="X58" s="84" t="s">
        <v>549</v>
      </c>
      <c r="Y58" s="83" t="s">
        <v>550</v>
      </c>
      <c r="Z58" s="83" t="s">
        <v>551</v>
      </c>
      <c r="AA58" s="83" t="s">
        <v>551</v>
      </c>
      <c r="AB58" s="83" t="s">
        <v>552</v>
      </c>
      <c r="AC58" s="103" t="s">
        <v>553</v>
      </c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</row>
    <row r="59" spans="18:59" x14ac:dyDescent="0.25">
      <c r="R59" s="21">
        <v>46093</v>
      </c>
      <c r="S59" s="111">
        <v>22.3</v>
      </c>
      <c r="T59" s="2">
        <v>100830</v>
      </c>
      <c r="U59" s="3">
        <v>95.6</v>
      </c>
      <c r="V59" s="3">
        <v>26.4</v>
      </c>
      <c r="W59" s="112">
        <f>(U59)*1.101*(101325/T59)*(273.15+S59)/273.15</f>
        <v>114.40759228338891</v>
      </c>
      <c r="X59" s="112">
        <f>(((V59*1000/60)*1.0814-37.091)*101325/T59*(S59+273.15)/273.15)*60/1000</f>
        <v>28.612332792476483</v>
      </c>
      <c r="Y59" s="2">
        <f>SUM(W59:X59)</f>
        <v>143.01992507586539</v>
      </c>
      <c r="Z59" s="2">
        <f>Y59*1000/60</f>
        <v>2383.6654179310895</v>
      </c>
      <c r="AA59" s="2">
        <f>Z59/100</f>
        <v>23.836654179310894</v>
      </c>
      <c r="AB59" s="2">
        <f>AA59/60</f>
        <v>0.39727756965518157</v>
      </c>
      <c r="AC59" s="113">
        <f>100*X59/SUM(W59:X59)</f>
        <v>20.005836793229317</v>
      </c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</row>
    <row r="60" spans="18:59" x14ac:dyDescent="0.25">
      <c r="S60" s="111"/>
      <c r="T60" s="2"/>
      <c r="U60" s="3"/>
      <c r="V60" s="3"/>
      <c r="W60" s="112"/>
      <c r="X60" s="112"/>
      <c r="Y60" s="2"/>
      <c r="Z60" s="2"/>
      <c r="AA60" s="2"/>
      <c r="AB60" s="2"/>
      <c r="AC60" s="113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</row>
    <row r="61" spans="18:59" x14ac:dyDescent="0.25">
      <c r="S61" s="111"/>
      <c r="T61" s="2"/>
      <c r="U61" s="3"/>
      <c r="V61" s="3"/>
      <c r="W61" s="112"/>
      <c r="X61" s="112"/>
      <c r="Y61" s="2"/>
      <c r="Z61" s="2"/>
      <c r="AA61" s="2"/>
      <c r="AB61" s="2"/>
      <c r="AC61" s="113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</row>
    <row r="62" spans="18:59" x14ac:dyDescent="0.25">
      <c r="S62" s="111"/>
      <c r="T62" s="2"/>
      <c r="U62" s="3"/>
      <c r="V62" s="3"/>
      <c r="W62" s="112"/>
      <c r="X62" s="112"/>
      <c r="Y62" s="2"/>
      <c r="Z62" s="2"/>
      <c r="AA62" s="2"/>
      <c r="AB62" s="2"/>
      <c r="AC62" s="113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</row>
    <row r="63" spans="18:59" x14ac:dyDescent="0.25">
      <c r="S63" s="111"/>
      <c r="T63" s="2"/>
      <c r="U63" s="3"/>
      <c r="V63" s="3"/>
      <c r="W63" s="112"/>
      <c r="X63" s="112"/>
      <c r="Y63" s="2"/>
      <c r="Z63" s="2"/>
      <c r="AA63" s="2"/>
      <c r="AB63" s="2"/>
      <c r="AC63" s="113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</row>
    <row r="64" spans="18:59" x14ac:dyDescent="0.25">
      <c r="R64" s="21">
        <v>46098</v>
      </c>
      <c r="S64" s="111">
        <v>21.9</v>
      </c>
      <c r="T64" s="2">
        <v>101010</v>
      </c>
      <c r="U64" s="3">
        <v>95.6</v>
      </c>
      <c r="V64" s="3">
        <v>26.4</v>
      </c>
      <c r="W64" s="112">
        <f>(U64)*1.101*(101325/T64)*(273.15+S64)/273.15</f>
        <v>114.04910110731689</v>
      </c>
      <c r="X64" s="112">
        <f>(((V64*1000/60)*1.0814-37.091)*101325/T64*(S64+273.15)/273.15)*60/1000</f>
        <v>28.5226773017156</v>
      </c>
      <c r="Y64" s="2">
        <f>SUM(W64:X64)</f>
        <v>142.57177840903248</v>
      </c>
      <c r="Z64" s="2">
        <f>Y64*1000/60</f>
        <v>2376.1963068172076</v>
      </c>
      <c r="AA64" s="2">
        <f>Z64/100</f>
        <v>23.761963068172076</v>
      </c>
      <c r="AB64" s="2">
        <f>AA64/60</f>
        <v>0.39603271780286792</v>
      </c>
      <c r="AC64" s="113">
        <f>100*X64/SUM(W64:X64)</f>
        <v>20.005836793229321</v>
      </c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</row>
    <row r="65" spans="5:59" x14ac:dyDescent="0.25">
      <c r="S65" s="111"/>
      <c r="T65" s="2"/>
      <c r="U65" s="3"/>
      <c r="V65" s="3"/>
      <c r="W65" s="112"/>
      <c r="X65" s="112"/>
      <c r="Y65" s="2"/>
      <c r="Z65" s="2"/>
      <c r="AA65" s="2"/>
      <c r="AB65" s="2"/>
      <c r="AC65" s="113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</row>
    <row r="66" spans="5:59" ht="15" customHeight="1" x14ac:dyDescent="0.25">
      <c r="S66" s="111"/>
      <c r="T66" s="2"/>
      <c r="U66" s="3"/>
      <c r="V66" s="3"/>
      <c r="W66" s="112"/>
      <c r="X66" s="112"/>
      <c r="Y66" s="2"/>
      <c r="Z66" s="2"/>
      <c r="AA66" s="2"/>
      <c r="AB66" s="2"/>
      <c r="AC66" s="113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</row>
    <row r="67" spans="5:59" ht="15" customHeight="1" x14ac:dyDescent="0.25">
      <c r="S67" s="111"/>
      <c r="T67" s="2"/>
      <c r="U67" s="3"/>
      <c r="V67" s="3"/>
      <c r="W67" s="112"/>
      <c r="X67" s="112"/>
      <c r="Y67" s="2"/>
      <c r="Z67" s="2"/>
      <c r="AA67" s="2"/>
      <c r="AB67" s="2"/>
      <c r="AC67" s="113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</row>
    <row r="68" spans="5:59" ht="15" customHeight="1" x14ac:dyDescent="0.25">
      <c r="S68" s="111"/>
      <c r="T68" s="2"/>
      <c r="U68" s="3"/>
      <c r="V68" s="3"/>
      <c r="W68" s="112"/>
      <c r="X68" s="112"/>
      <c r="Y68" s="2"/>
      <c r="Z68" s="2"/>
      <c r="AA68" s="2"/>
      <c r="AB68" s="2"/>
      <c r="AC68" s="113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</row>
    <row r="69" spans="5:59" x14ac:dyDescent="0.25"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</row>
    <row r="70" spans="5:59" x14ac:dyDescent="0.25"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</row>
    <row r="71" spans="5:59" x14ac:dyDescent="0.25"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</row>
    <row r="72" spans="5:59" x14ac:dyDescent="0.25"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</row>
    <row r="73" spans="5:59" x14ac:dyDescent="0.25">
      <c r="H73" s="15"/>
      <c r="I73" s="86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</row>
    <row r="74" spans="5:59" x14ac:dyDescent="0.25">
      <c r="O74" s="15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</row>
    <row r="75" spans="5:59" x14ac:dyDescent="0.25">
      <c r="E75" s="15"/>
      <c r="G75" s="15"/>
      <c r="H75" s="15"/>
      <c r="O75" s="15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</row>
    <row r="76" spans="5:59" x14ac:dyDescent="0.25">
      <c r="E76" s="15"/>
      <c r="G76" s="15"/>
      <c r="H76" s="15"/>
      <c r="O76" s="15"/>
    </row>
  </sheetData>
  <mergeCells count="199">
    <mergeCell ref="AB59:AB63"/>
    <mergeCell ref="AC59:AC63"/>
    <mergeCell ref="S64:S68"/>
    <mergeCell ref="T64:T68"/>
    <mergeCell ref="U64:U68"/>
    <mergeCell ref="V64:V68"/>
    <mergeCell ref="W64:W68"/>
    <mergeCell ref="X64:X68"/>
    <mergeCell ref="Y64:Y68"/>
    <mergeCell ref="Z64:Z68"/>
    <mergeCell ref="AA64:AA68"/>
    <mergeCell ref="AB64:AB68"/>
    <mergeCell ref="AC64:AC68"/>
    <mergeCell ref="S59:S63"/>
    <mergeCell ref="T59:T63"/>
    <mergeCell ref="U59:U63"/>
    <mergeCell ref="V59:V63"/>
    <mergeCell ref="W59:W63"/>
    <mergeCell ref="X59:X63"/>
    <mergeCell ref="Y59:Y63"/>
    <mergeCell ref="Z59:Z63"/>
    <mergeCell ref="AA59:AA63"/>
    <mergeCell ref="Y36:Y40"/>
    <mergeCell ref="Z36:Z40"/>
    <mergeCell ref="AA36:AA40"/>
    <mergeCell ref="AB36:AB40"/>
    <mergeCell ref="AC36:AC40"/>
    <mergeCell ref="AD36:AD40"/>
    <mergeCell ref="AE36:AE40"/>
    <mergeCell ref="S57:T57"/>
    <mergeCell ref="U57:V57"/>
    <mergeCell ref="W57:X57"/>
    <mergeCell ref="Y57:Z57"/>
    <mergeCell ref="AA57:AB57"/>
    <mergeCell ref="AD31:AD35"/>
    <mergeCell ref="AE31:AE35"/>
    <mergeCell ref="C36:C40"/>
    <mergeCell ref="D36:D40"/>
    <mergeCell ref="E36:E40"/>
    <mergeCell ref="F36:F40"/>
    <mergeCell ref="G36:G40"/>
    <mergeCell ref="H36:H40"/>
    <mergeCell ref="I36:I40"/>
    <mergeCell ref="J36:J40"/>
    <mergeCell ref="K36:K40"/>
    <mergeCell ref="L36:L40"/>
    <mergeCell ref="M36:M40"/>
    <mergeCell ref="N36:N40"/>
    <mergeCell ref="O36:O40"/>
    <mergeCell ref="P36:P40"/>
    <mergeCell ref="Q36:Q40"/>
    <mergeCell ref="R36:R40"/>
    <mergeCell ref="S36:S40"/>
    <mergeCell ref="T36:T40"/>
    <mergeCell ref="U36:U40"/>
    <mergeCell ref="V36:V40"/>
    <mergeCell ref="W36:W40"/>
    <mergeCell ref="X36:X40"/>
    <mergeCell ref="U31:U35"/>
    <mergeCell ref="V31:V35"/>
    <mergeCell ref="W31:W35"/>
    <mergeCell ref="X31:X35"/>
    <mergeCell ref="Y31:Y35"/>
    <mergeCell ref="Z31:Z35"/>
    <mergeCell ref="AA31:AA35"/>
    <mergeCell ref="AB31:AB35"/>
    <mergeCell ref="AC31:AC35"/>
    <mergeCell ref="L31:L35"/>
    <mergeCell ref="M31:M35"/>
    <mergeCell ref="N31:N35"/>
    <mergeCell ref="O31:O35"/>
    <mergeCell ref="P31:P35"/>
    <mergeCell ref="Q31:Q35"/>
    <mergeCell ref="R31:R35"/>
    <mergeCell ref="S31:S35"/>
    <mergeCell ref="T31:T35"/>
    <mergeCell ref="C31:C35"/>
    <mergeCell ref="D31:D35"/>
    <mergeCell ref="E31:E35"/>
    <mergeCell ref="F31:F35"/>
    <mergeCell ref="G31:G35"/>
    <mergeCell ref="H31:H35"/>
    <mergeCell ref="I31:I35"/>
    <mergeCell ref="J31:J35"/>
    <mergeCell ref="K31:K35"/>
    <mergeCell ref="W26:W30"/>
    <mergeCell ref="X26:X30"/>
    <mergeCell ref="Y26:Y30"/>
    <mergeCell ref="Z26:Z30"/>
    <mergeCell ref="AA26:AA30"/>
    <mergeCell ref="AB26:AB30"/>
    <mergeCell ref="AC26:AC30"/>
    <mergeCell ref="AD26:AD30"/>
    <mergeCell ref="AE26:AE30"/>
    <mergeCell ref="AB21:AB25"/>
    <mergeCell ref="AC21:AC25"/>
    <mergeCell ref="AD21:AD25"/>
    <mergeCell ref="AE21:AE25"/>
    <mergeCell ref="C26:C30"/>
    <mergeCell ref="D26:D30"/>
    <mergeCell ref="E26:E30"/>
    <mergeCell ref="F26:F30"/>
    <mergeCell ref="G26:G30"/>
    <mergeCell ref="H26:H30"/>
    <mergeCell ref="I26:I30"/>
    <mergeCell ref="J26:J30"/>
    <mergeCell ref="K26:K30"/>
    <mergeCell ref="L26:L30"/>
    <mergeCell ref="M26:M30"/>
    <mergeCell ref="N26:N30"/>
    <mergeCell ref="O26:O30"/>
    <mergeCell ref="P26:P30"/>
    <mergeCell ref="Q26:Q30"/>
    <mergeCell ref="R26:R30"/>
    <mergeCell ref="S26:S30"/>
    <mergeCell ref="T26:T30"/>
    <mergeCell ref="U26:U30"/>
    <mergeCell ref="V26:V30"/>
    <mergeCell ref="S21:S25"/>
    <mergeCell ref="T21:T25"/>
    <mergeCell ref="U21:U25"/>
    <mergeCell ref="V21:V25"/>
    <mergeCell ref="W21:W25"/>
    <mergeCell ref="X21:X25"/>
    <mergeCell ref="Y21:Y25"/>
    <mergeCell ref="Z21:Z25"/>
    <mergeCell ref="AA21:AA25"/>
    <mergeCell ref="X16:X20"/>
    <mergeCell ref="Y16:Y20"/>
    <mergeCell ref="Z16:Z20"/>
    <mergeCell ref="AA16:AA20"/>
    <mergeCell ref="AB16:AB20"/>
    <mergeCell ref="AC16:AC20"/>
    <mergeCell ref="AD16:AD20"/>
    <mergeCell ref="AE16:AE20"/>
    <mergeCell ref="C21:C25"/>
    <mergeCell ref="D21:D25"/>
    <mergeCell ref="E21:E25"/>
    <mergeCell ref="F21:F25"/>
    <mergeCell ref="G21:G25"/>
    <mergeCell ref="H21:H25"/>
    <mergeCell ref="I21:I25"/>
    <mergeCell ref="J21:J25"/>
    <mergeCell ref="K21:K25"/>
    <mergeCell ref="L21:L25"/>
    <mergeCell ref="M21:M25"/>
    <mergeCell ref="N21:N25"/>
    <mergeCell ref="O21:O25"/>
    <mergeCell ref="P21:P25"/>
    <mergeCell ref="Q21:Q25"/>
    <mergeCell ref="R21:R25"/>
    <mergeCell ref="V14:W14"/>
    <mergeCell ref="X14:Y14"/>
    <mergeCell ref="B16:B40"/>
    <mergeCell ref="C16:C20"/>
    <mergeCell ref="D16:D20"/>
    <mergeCell ref="E16:E20"/>
    <mergeCell ref="F16:F20"/>
    <mergeCell ref="G16:G20"/>
    <mergeCell ref="H16:H20"/>
    <mergeCell ref="I16:I20"/>
    <mergeCell ref="J16:J20"/>
    <mergeCell ref="K16:K20"/>
    <mergeCell ref="L16:L20"/>
    <mergeCell ref="M16:M20"/>
    <mergeCell ref="N16:N20"/>
    <mergeCell ref="O16:O20"/>
    <mergeCell ref="P16:P20"/>
    <mergeCell ref="Q16:Q20"/>
    <mergeCell ref="R16:R20"/>
    <mergeCell ref="S16:S20"/>
    <mergeCell ref="T16:T20"/>
    <mergeCell ref="U16:U20"/>
    <mergeCell ref="V16:V20"/>
    <mergeCell ref="W16:W20"/>
    <mergeCell ref="B12:F12"/>
    <mergeCell ref="G12:H14"/>
    <mergeCell ref="I12:J14"/>
    <mergeCell ref="K12:L14"/>
    <mergeCell ref="M12:N14"/>
    <mergeCell ref="O12:AE12"/>
    <mergeCell ref="AF12:AO12"/>
    <mergeCell ref="B13:B15"/>
    <mergeCell ref="C13:D14"/>
    <mergeCell ref="E13:F14"/>
    <mergeCell ref="O13:P14"/>
    <mergeCell ref="Q13:R14"/>
    <mergeCell ref="S13:T14"/>
    <mergeCell ref="U13:Y13"/>
    <mergeCell ref="Z13:Z15"/>
    <mergeCell ref="AA13:AA15"/>
    <mergeCell ref="AB13:AE14"/>
    <mergeCell ref="AF13:AF15"/>
    <mergeCell ref="AG13:AG15"/>
    <mergeCell ref="AH13:AH15"/>
    <mergeCell ref="AI13:AJ14"/>
    <mergeCell ref="AK13:AK15"/>
    <mergeCell ref="AL13:AL15"/>
    <mergeCell ref="AM13:AO14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Einzelkanal</vt:lpstr>
      <vt:lpstr>Monolithanlage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Stähr, Sebastian</dc:creator>
  <dc:description/>
  <cp:lastModifiedBy>Sebastian Stähr</cp:lastModifiedBy>
  <cp:revision>16</cp:revision>
  <dcterms:created xsi:type="dcterms:W3CDTF">2015-06-05T18:19:34Z</dcterms:created>
  <dcterms:modified xsi:type="dcterms:W3CDTF">2026-06-24T23:19:54Z</dcterms:modified>
  <dc:language>de-DE</dc:language>
</cp:coreProperties>
</file>